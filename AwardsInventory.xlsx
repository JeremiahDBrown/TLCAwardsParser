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eremiah\Documents\TrailLife\TLCAwardsParser\"/>
    </mc:Choice>
  </mc:AlternateContent>
  <xr:revisionPtr revIDLastSave="0" documentId="13_ncr:1_{3A32D03E-A6FA-4F4B-9E99-6AD8D4C4A85A}" xr6:coauthVersionLast="47" xr6:coauthVersionMax="47" xr10:uidLastSave="{00000000-0000-0000-0000-000000000000}"/>
  <bookViews>
    <workbookView xWindow="1470" yWindow="1470" windowWidth="23910" windowHeight="11295" xr2:uid="{00000000-000D-0000-FFFF-FFFF00000000}"/>
  </bookViews>
  <sheets>
    <sheet name="Inventory" sheetId="12" r:id="rId1"/>
  </sheets>
  <definedNames>
    <definedName name="_xlnm.Print_Area" localSheetId="0">Inventory!$B$1:$L$83</definedName>
  </definedNames>
  <calcPr calcId="191029"/>
</workbook>
</file>

<file path=xl/calcChain.xml><?xml version="1.0" encoding="utf-8"?>
<calcChain xmlns="http://schemas.openxmlformats.org/spreadsheetml/2006/main">
  <c r="H93" i="12" l="1"/>
  <c r="L86" i="12"/>
  <c r="K30" i="12"/>
  <c r="K29" i="12" l="1"/>
  <c r="I29" i="12"/>
  <c r="L29" i="12" s="1"/>
  <c r="K34" i="12"/>
  <c r="I34" i="12"/>
  <c r="L34" i="12" s="1"/>
  <c r="L90" i="12" l="1"/>
  <c r="L89" i="12"/>
  <c r="L88" i="12"/>
  <c r="L87" i="12"/>
  <c r="I83" i="12" l="1"/>
  <c r="L83" i="12" s="1"/>
  <c r="I82" i="12"/>
  <c r="L82" i="12" s="1"/>
  <c r="I81" i="12"/>
  <c r="L81" i="12" s="1"/>
  <c r="I80" i="12"/>
  <c r="L80" i="12" s="1"/>
  <c r="I79" i="12"/>
  <c r="L79" i="12" s="1"/>
  <c r="I78" i="12"/>
  <c r="L78" i="12" s="1"/>
  <c r="I77" i="12"/>
  <c r="L77" i="12" s="1"/>
  <c r="I76" i="12"/>
  <c r="L76" i="12" s="1"/>
  <c r="I75" i="12"/>
  <c r="L75" i="12" s="1"/>
  <c r="I74" i="12"/>
  <c r="L74" i="12" s="1"/>
  <c r="I73" i="12"/>
  <c r="L73" i="12" s="1"/>
  <c r="I72" i="12"/>
  <c r="L72" i="12" s="1"/>
  <c r="I71" i="12"/>
  <c r="L71" i="12" s="1"/>
  <c r="I70" i="12"/>
  <c r="L70" i="12" s="1"/>
  <c r="I69" i="12"/>
  <c r="L69" i="12" s="1"/>
  <c r="I68" i="12"/>
  <c r="L68" i="12" s="1"/>
  <c r="I65" i="12"/>
  <c r="L65" i="12" s="1"/>
  <c r="I64" i="12"/>
  <c r="L64" i="12" s="1"/>
  <c r="I63" i="12"/>
  <c r="L63" i="12" s="1"/>
  <c r="I62" i="12"/>
  <c r="L62" i="12" s="1"/>
  <c r="I61" i="12"/>
  <c r="L61" i="12" s="1"/>
  <c r="I60" i="12"/>
  <c r="L60" i="12" s="1"/>
  <c r="I59" i="12"/>
  <c r="L59" i="12" s="1"/>
  <c r="I56" i="12"/>
  <c r="L56" i="12" s="1"/>
  <c r="I55" i="12"/>
  <c r="L55" i="12" s="1"/>
  <c r="I54" i="12"/>
  <c r="L54" i="12" s="1"/>
  <c r="I53" i="12"/>
  <c r="L53" i="12" s="1"/>
  <c r="I52" i="12"/>
  <c r="L52" i="12" s="1"/>
  <c r="I51" i="12"/>
  <c r="L51" i="12" s="1"/>
  <c r="I50" i="12"/>
  <c r="L50" i="12" s="1"/>
  <c r="I49" i="12"/>
  <c r="L49" i="12" s="1"/>
  <c r="I48" i="12"/>
  <c r="L48" i="12" s="1"/>
  <c r="I47" i="12"/>
  <c r="L47" i="12" s="1"/>
  <c r="I46" i="12"/>
  <c r="L46" i="12" s="1"/>
  <c r="I45" i="12"/>
  <c r="L45" i="12" s="1"/>
  <c r="I44" i="12"/>
  <c r="L44" i="12" s="1"/>
  <c r="I43" i="12"/>
  <c r="L43" i="12" s="1"/>
  <c r="I42" i="12"/>
  <c r="L42" i="12" s="1"/>
  <c r="I41" i="12"/>
  <c r="L41" i="12" s="1"/>
  <c r="I40" i="12"/>
  <c r="L40" i="12" s="1"/>
  <c r="I39" i="12"/>
  <c r="L39" i="12" s="1"/>
  <c r="I36" i="12"/>
  <c r="L36" i="12" s="1"/>
  <c r="I35" i="12"/>
  <c r="L35" i="12" s="1"/>
  <c r="I33" i="12"/>
  <c r="L33" i="12" s="1"/>
  <c r="I30" i="12"/>
  <c r="L30" i="12" s="1"/>
  <c r="I28" i="12"/>
  <c r="L28" i="12" s="1"/>
  <c r="I27" i="12"/>
  <c r="L27" i="12" s="1"/>
  <c r="I26" i="12"/>
  <c r="L26" i="12" s="1"/>
  <c r="I23" i="12"/>
  <c r="L23" i="12" s="1"/>
  <c r="I22" i="12"/>
  <c r="L22" i="12" s="1"/>
  <c r="I21" i="12"/>
  <c r="L21" i="12" s="1"/>
  <c r="I20" i="12"/>
  <c r="L20" i="12" s="1"/>
  <c r="I19" i="12"/>
  <c r="L19" i="12" s="1"/>
  <c r="I18" i="12"/>
  <c r="L18" i="12" s="1"/>
  <c r="I17" i="12"/>
  <c r="L17" i="12" s="1"/>
  <c r="I16" i="12"/>
  <c r="L16" i="12" s="1"/>
  <c r="I15" i="12"/>
  <c r="L15" i="12" s="1"/>
  <c r="I14" i="12"/>
  <c r="L14" i="12" s="1"/>
  <c r="I13" i="12"/>
  <c r="L13" i="12" s="1"/>
  <c r="I12" i="12"/>
  <c r="L12" i="12" s="1"/>
  <c r="I11" i="12"/>
  <c r="L11" i="12" s="1"/>
  <c r="I10" i="12"/>
  <c r="L10" i="12" s="1"/>
  <c r="I9" i="12"/>
  <c r="L9" i="12" s="1"/>
  <c r="I6" i="12"/>
  <c r="L6" i="12" s="1"/>
  <c r="I5" i="12"/>
  <c r="L5" i="12" s="1"/>
  <c r="I4" i="12"/>
  <c r="L4" i="12" s="1"/>
  <c r="I3" i="12"/>
  <c r="L3" i="12" s="1"/>
  <c r="K82" i="12"/>
  <c r="K81" i="12"/>
  <c r="K80" i="12"/>
  <c r="K79" i="12"/>
  <c r="K90" i="12" l="1"/>
  <c r="K88" i="12" l="1"/>
  <c r="K89" i="12"/>
  <c r="K87" i="12"/>
  <c r="K86" i="12"/>
  <c r="K85" i="12"/>
  <c r="K77" i="12"/>
  <c r="K78" i="12"/>
  <c r="K83" i="12" l="1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3" i="12"/>
  <c r="K32" i="12"/>
  <c r="K31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L92" i="12" l="1"/>
  <c r="F5" i="12"/>
  <c r="L93" i="12" s="1"/>
  <c r="F22" i="12"/>
  <c r="F2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JBrown</author>
  </authors>
  <commentList>
    <comment ref="F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Ordered in packs of 10</t>
        </r>
      </text>
    </comment>
    <comment ref="F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12. $280/6, $490/12, $850/24</t>
        </r>
      </text>
    </comment>
    <comment ref="F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Included with standard</t>
        </r>
      </text>
    </comment>
    <comment ref="F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1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1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1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1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2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Purchased in sheets of 9</t>
        </r>
      </text>
    </comment>
    <comment ref="F2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Purchased in sheets of 9</t>
        </r>
      </text>
    </comment>
    <comment ref="F5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6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6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62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6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64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6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10</t>
        </r>
      </text>
    </comment>
    <comment ref="F68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JBrown:</t>
        </r>
        <r>
          <rPr>
            <sz val="9"/>
            <color indexed="81"/>
            <rFont val="Tahoma"/>
            <family val="2"/>
          </rPr>
          <t xml:space="preserve">
Assumes purchase of 20 or more</t>
        </r>
      </text>
    </comment>
    <comment ref="F6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 xml:space="preserve">JBrown:
</t>
        </r>
        <r>
          <rPr>
            <sz val="9"/>
            <color indexed="81"/>
            <rFont val="Tahoma"/>
            <family val="2"/>
          </rPr>
          <t>Assumes purchase of 10 or more</t>
        </r>
      </text>
    </comment>
  </commentList>
</comments>
</file>

<file path=xl/sharedStrings.xml><?xml version="1.0" encoding="utf-8"?>
<sst xmlns="http://schemas.openxmlformats.org/spreadsheetml/2006/main" count="122" uniqueCount="105">
  <si>
    <t>Aquatics</t>
  </si>
  <si>
    <t>Camping</t>
  </si>
  <si>
    <t>Our Flag</t>
  </si>
  <si>
    <t>Ropework</t>
  </si>
  <si>
    <t>Heritage</t>
  </si>
  <si>
    <t>Hobbies</t>
  </si>
  <si>
    <t>Values</t>
  </si>
  <si>
    <t>Trail Skills</t>
  </si>
  <si>
    <t>Life Skills</t>
  </si>
  <si>
    <t>Outdoor Skills</t>
  </si>
  <si>
    <t>Science &amp; Tech</t>
  </si>
  <si>
    <t>Sports &amp; Fitness</t>
  </si>
  <si>
    <t>Fire Ranger</t>
  </si>
  <si>
    <t>Woodsman</t>
  </si>
  <si>
    <t>Hawks</t>
  </si>
  <si>
    <t>Outdoor Cooking</t>
  </si>
  <si>
    <t>Family Man</t>
  </si>
  <si>
    <t>Citizenship</t>
  </si>
  <si>
    <t>Worthy Life Award</t>
  </si>
  <si>
    <t>Worthy Life Cross</t>
  </si>
  <si>
    <t>Woodland Trails Awards</t>
  </si>
  <si>
    <t>Foxes</t>
  </si>
  <si>
    <t>Fox Joining Patch</t>
  </si>
  <si>
    <t>Fox Forest Award</t>
  </si>
  <si>
    <t>Bronze Branch Pins</t>
  </si>
  <si>
    <t>Bronze Sylvan Stars</t>
  </si>
  <si>
    <t>Hawk Joining Patch</t>
  </si>
  <si>
    <t>Hawk Forest Award</t>
  </si>
  <si>
    <t>Silver Branch Pins</t>
  </si>
  <si>
    <t>Silver Sylvan Stars</t>
  </si>
  <si>
    <t>Mountain Lions</t>
  </si>
  <si>
    <t>Mountain Lion Joining Patch</t>
  </si>
  <si>
    <t>Mountain Lion Forest Award</t>
  </si>
  <si>
    <t>Gold Branch Pins</t>
  </si>
  <si>
    <t>Gold Sylvan Stars</t>
  </si>
  <si>
    <t>Fireguard</t>
  </si>
  <si>
    <t>Timberline</t>
  </si>
  <si>
    <t>Navigator Awards</t>
  </si>
  <si>
    <t>Able Patch and Medallion</t>
  </si>
  <si>
    <t>Recruit Patch</t>
  </si>
  <si>
    <t>Ready Patch and Medallion</t>
  </si>
  <si>
    <t>Navigator Service Star</t>
  </si>
  <si>
    <t>Adventurer Awards</t>
  </si>
  <si>
    <t>Adventurers</t>
  </si>
  <si>
    <t>Journey Patch and Medallion</t>
  </si>
  <si>
    <t>Horizon Patch and Medallion</t>
  </si>
  <si>
    <t>Navigators</t>
  </si>
  <si>
    <t>Outdoor Life</t>
  </si>
  <si>
    <t>First Aid</t>
  </si>
  <si>
    <t>Required Trail Badges</t>
  </si>
  <si>
    <t>Ready Trailman Badges</t>
  </si>
  <si>
    <t>Horizon Trail Badges</t>
  </si>
  <si>
    <t>Elective Trail Badges</t>
  </si>
  <si>
    <t>Elective Badges</t>
  </si>
  <si>
    <t>Ceremonial Standard</t>
  </si>
  <si>
    <t>Standard Medallion</t>
  </si>
  <si>
    <t>Troop Number Patch</t>
  </si>
  <si>
    <t>Red Lanyard</t>
  </si>
  <si>
    <t>Fox Shoulder Loops</t>
  </si>
  <si>
    <t>Hawk Shoulder Loops</t>
  </si>
  <si>
    <t>Mountain Lion Shoulder Loops</t>
  </si>
  <si>
    <t>Navigator Shoulder Loops</t>
  </si>
  <si>
    <t>Adventurer Shoulder Loops</t>
  </si>
  <si>
    <t>Woodland Leader Shoulder Loops</t>
  </si>
  <si>
    <t>Various</t>
  </si>
  <si>
    <t>Other Awards</t>
  </si>
  <si>
    <t>All</t>
  </si>
  <si>
    <t>Uniform Items</t>
  </si>
  <si>
    <t>Current Qty</t>
  </si>
  <si>
    <t>To Award</t>
  </si>
  <si>
    <t>Recommended Purchase</t>
  </si>
  <si>
    <t>Updated Total</t>
  </si>
  <si>
    <t>Adventurer Service Star</t>
  </si>
  <si>
    <t>Current Price</t>
  </si>
  <si>
    <t>Purchase Price</t>
  </si>
  <si>
    <t>Total Suggested Purchase:</t>
  </si>
  <si>
    <t>Target Inventory</t>
  </si>
  <si>
    <t>Jr Patrol Leader Shoulder Loops</t>
  </si>
  <si>
    <t>Registered Adult Shoulder Loops</t>
  </si>
  <si>
    <t/>
  </si>
  <si>
    <t>Calculate new totals?</t>
  </si>
  <si>
    <t>Calculate purchases?</t>
  </si>
  <si>
    <t>Submitted Purchase</t>
  </si>
  <si>
    <t>Navigator Adult Leader Loops</t>
  </si>
  <si>
    <t>Adventurer Adult Leader Loops</t>
  </si>
  <si>
    <t>Other</t>
  </si>
  <si>
    <t>Metal pin backs (50x - Amazon)</t>
  </si>
  <si>
    <t>Ribbon</t>
  </si>
  <si>
    <t>Current Inventory Value:</t>
  </si>
  <si>
    <t>First Officer Shoulder Loops</t>
  </si>
  <si>
    <t>Second Officer Shoulder Loops</t>
  </si>
  <si>
    <t>Quartermaster Shoulder Loops</t>
  </si>
  <si>
    <t>Patrol Leader Shoulder Loops</t>
  </si>
  <si>
    <t>Books</t>
  </si>
  <si>
    <t>Emergency Preparedness</t>
  </si>
  <si>
    <t>Woods Tools</t>
  </si>
  <si>
    <t>Personal Resources</t>
  </si>
  <si>
    <t>Cycling (Fitness Badge)</t>
  </si>
  <si>
    <t>Fitness (Fitness Badge)</t>
  </si>
  <si>
    <t>Hiking (Fitness Badge)</t>
  </si>
  <si>
    <t>Swimming (Fitness Badge)</t>
  </si>
  <si>
    <t>Ascent Patch and Medallion</t>
  </si>
  <si>
    <t>Ridgeline Award</t>
  </si>
  <si>
    <t>Troop Flag</t>
  </si>
  <si>
    <t>American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</si>
</sst>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0" fillId="4" borderId="3" xfId="0" applyFill="1" applyBorder="1"/>
    <xf numFmtId="0" fontId="0" fillId="4" borderId="5" xfId="0" applyFill="1" applyBorder="1"/>
    <xf numFmtId="0" fontId="0" fillId="3" borderId="10" xfId="0" applyFill="1" applyBorder="1"/>
    <xf numFmtId="0" fontId="4" fillId="0" borderId="0" xfId="0" applyFont="1"/>
    <xf numFmtId="0" fontId="0" fillId="7" borderId="5" xfId="0" applyFill="1" applyBorder="1"/>
    <xf numFmtId="0" fontId="0" fillId="7" borderId="3" xfId="0" applyFill="1" applyBorder="1"/>
    <xf numFmtId="0" fontId="0" fillId="3" borderId="1" xfId="0" applyFill="1" applyBorder="1"/>
    <xf numFmtId="0" fontId="0" fillId="2" borderId="5" xfId="0" applyFill="1" applyBorder="1"/>
    <xf numFmtId="0" fontId="0" fillId="2" borderId="3" xfId="0" applyFill="1" applyBorder="1"/>
    <xf numFmtId="0" fontId="0" fillId="2" borderId="1" xfId="0" applyFill="1" applyBorder="1"/>
    <xf numFmtId="0" fontId="0" fillId="7" borderId="10" xfId="0" applyFill="1" applyBorder="1"/>
    <xf numFmtId="0" fontId="0" fillId="8" borderId="5" xfId="0" applyFill="1" applyBorder="1"/>
    <xf numFmtId="0" fontId="0" fillId="8" borderId="3" xfId="0" applyFill="1" applyBorder="1"/>
    <xf numFmtId="0" fontId="0" fillId="8" borderId="10" xfId="0" applyFill="1" applyBorder="1"/>
    <xf numFmtId="0" fontId="0" fillId="5" borderId="5" xfId="0" applyFill="1" applyBorder="1"/>
    <xf numFmtId="0" fontId="0" fillId="5" borderId="3" xfId="0" applyFill="1" applyBorder="1"/>
    <xf numFmtId="0" fontId="0" fillId="5" borderId="10" xfId="0" applyFill="1" applyBorder="1"/>
    <xf numFmtId="0" fontId="0" fillId="6" borderId="5" xfId="0" applyFill="1" applyBorder="1"/>
    <xf numFmtId="0" fontId="0" fillId="6" borderId="3" xfId="0" applyFill="1" applyBorder="1"/>
    <xf numFmtId="0" fontId="0" fillId="6" borderId="10" xfId="0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8" borderId="1" xfId="0" applyFill="1" applyBorder="1"/>
    <xf numFmtId="0" fontId="0" fillId="8" borderId="13" xfId="0" applyFill="1" applyBorder="1" applyAlignment="1">
      <alignment horizontal="center"/>
    </xf>
    <xf numFmtId="0" fontId="0" fillId="8" borderId="19" xfId="0" applyFill="1" applyBorder="1"/>
    <xf numFmtId="0" fontId="0" fillId="8" borderId="17" xfId="0" applyFill="1" applyBorder="1" applyAlignment="1">
      <alignment horizontal="center"/>
    </xf>
    <xf numFmtId="44" fontId="0" fillId="4" borderId="6" xfId="1" applyFont="1" applyFill="1" applyBorder="1" applyAlignment="1">
      <alignment horizontal="center"/>
    </xf>
    <xf numFmtId="44" fontId="0" fillId="4" borderId="8" xfId="1" applyFont="1" applyFill="1" applyBorder="1" applyAlignment="1">
      <alignment horizontal="center"/>
    </xf>
    <xf numFmtId="44" fontId="0" fillId="6" borderId="8" xfId="1" applyFont="1" applyFill="1" applyBorder="1" applyAlignment="1">
      <alignment horizontal="center"/>
    </xf>
    <xf numFmtId="44" fontId="0" fillId="6" borderId="11" xfId="1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2" borderId="6" xfId="1" applyFont="1" applyFill="1" applyBorder="1" applyAlignment="1">
      <alignment horizontal="center"/>
    </xf>
    <xf numFmtId="44" fontId="0" fillId="2" borderId="8" xfId="1" applyFont="1" applyFill="1" applyBorder="1" applyAlignment="1">
      <alignment horizontal="center"/>
    </xf>
    <xf numFmtId="44" fontId="0" fillId="5" borderId="6" xfId="1" applyFont="1" applyFill="1" applyBorder="1" applyAlignment="1">
      <alignment horizontal="center"/>
    </xf>
    <xf numFmtId="44" fontId="0" fillId="5" borderId="8" xfId="1" applyFont="1" applyFill="1" applyBorder="1" applyAlignment="1">
      <alignment horizontal="center"/>
    </xf>
    <xf numFmtId="44" fontId="0" fillId="3" borderId="6" xfId="1" applyFont="1" applyFill="1" applyBorder="1" applyAlignment="1">
      <alignment horizontal="center"/>
    </xf>
    <xf numFmtId="44" fontId="0" fillId="3" borderId="8" xfId="1" applyFont="1" applyFill="1" applyBorder="1" applyAlignment="1">
      <alignment horizontal="center"/>
    </xf>
    <xf numFmtId="44" fontId="0" fillId="3" borderId="13" xfId="1" applyFont="1" applyFill="1" applyBorder="1" applyAlignment="1">
      <alignment horizontal="center"/>
    </xf>
    <xf numFmtId="44" fontId="0" fillId="3" borderId="11" xfId="1" applyFont="1" applyFill="1" applyBorder="1" applyAlignment="1">
      <alignment horizontal="center"/>
    </xf>
    <xf numFmtId="44" fontId="0" fillId="7" borderId="6" xfId="1" applyFont="1" applyFill="1" applyBorder="1" applyAlignment="1">
      <alignment horizontal="center"/>
    </xf>
    <xf numFmtId="44" fontId="0" fillId="7" borderId="8" xfId="1" applyFont="1" applyFill="1" applyBorder="1" applyAlignment="1">
      <alignment horizontal="center"/>
    </xf>
    <xf numFmtId="44" fontId="0" fillId="7" borderId="11" xfId="1" applyFont="1" applyFill="1" applyBorder="1" applyAlignment="1">
      <alignment horizontal="center"/>
    </xf>
    <xf numFmtId="44" fontId="0" fillId="8" borderId="6" xfId="1" applyFont="1" applyFill="1" applyBorder="1" applyAlignment="1">
      <alignment horizontal="center"/>
    </xf>
    <xf numFmtId="44" fontId="0" fillId="8" borderId="8" xfId="1" applyFont="1" applyFill="1" applyBorder="1" applyAlignment="1">
      <alignment horizontal="center"/>
    </xf>
    <xf numFmtId="44" fontId="0" fillId="8" borderId="11" xfId="1" applyFont="1" applyFill="1" applyBorder="1" applyAlignment="1">
      <alignment horizontal="center"/>
    </xf>
    <xf numFmtId="44" fontId="0" fillId="8" borderId="13" xfId="1" applyFont="1" applyFill="1" applyBorder="1" applyAlignment="1">
      <alignment horizontal="center"/>
    </xf>
    <xf numFmtId="44" fontId="0" fillId="8" borderId="17" xfId="1" applyFont="1" applyFill="1" applyBorder="1" applyAlignment="1">
      <alignment horizontal="center"/>
    </xf>
    <xf numFmtId="44" fontId="0" fillId="6" borderId="22" xfId="1" applyFont="1" applyFill="1" applyBorder="1" applyAlignment="1">
      <alignment horizontal="center"/>
    </xf>
    <xf numFmtId="44" fontId="0" fillId="6" borderId="23" xfId="1" applyFont="1" applyFill="1" applyBorder="1" applyAlignment="1">
      <alignment horizontal="center"/>
    </xf>
    <xf numFmtId="44" fontId="4" fillId="0" borderId="0" xfId="0" applyNumberFormat="1" applyFont="1" applyAlignment="1">
      <alignment horizontal="center"/>
    </xf>
    <xf numFmtId="44" fontId="0" fillId="0" borderId="0" xfId="0" applyNumberFormat="1"/>
    <xf numFmtId="44" fontId="0" fillId="6" borderId="24" xfId="1" applyFont="1" applyFill="1" applyBorder="1" applyAlignment="1">
      <alignment horizontal="center"/>
    </xf>
    <xf numFmtId="44" fontId="4" fillId="0" borderId="0" xfId="1" applyFont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9" xfId="0" applyFont="1" applyFill="1" applyBorder="1"/>
    <xf numFmtId="44" fontId="6" fillId="7" borderId="17" xfId="1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3" xfId="0" applyFont="1" applyFill="1" applyBorder="1"/>
    <xf numFmtId="44" fontId="6" fillId="8" borderId="8" xfId="1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44" fontId="0" fillId="7" borderId="17" xfId="1" applyFont="1" applyFill="1" applyBorder="1" applyAlignment="1">
      <alignment horizontal="center"/>
    </xf>
    <xf numFmtId="0" fontId="0" fillId="0" borderId="0" xfId="0" quotePrefix="1"/>
    <xf numFmtId="0" fontId="0" fillId="7" borderId="19" xfId="0" applyFill="1" applyBorder="1"/>
    <xf numFmtId="0" fontId="6" fillId="7" borderId="19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 vertical="center" textRotation="90"/>
    </xf>
    <xf numFmtId="0" fontId="5" fillId="4" borderId="21" xfId="0" applyFont="1" applyFill="1" applyBorder="1" applyAlignment="1">
      <alignment horizontal="center" vertical="center" textRotation="90"/>
    </xf>
    <xf numFmtId="0" fontId="5" fillId="4" borderId="18" xfId="0" applyFont="1" applyFill="1" applyBorder="1" applyAlignment="1">
      <alignment horizontal="center" vertical="center" textRotation="90"/>
    </xf>
    <xf numFmtId="0" fontId="5" fillId="4" borderId="16" xfId="0" applyFont="1" applyFill="1" applyBorder="1" applyAlignment="1">
      <alignment horizontal="center" vertical="center" textRotation="90" wrapText="1"/>
    </xf>
    <xf numFmtId="0" fontId="5" fillId="4" borderId="21" xfId="0" applyFont="1" applyFill="1" applyBorder="1" applyAlignment="1">
      <alignment horizontal="center" vertical="center" textRotation="90" wrapText="1"/>
    </xf>
    <xf numFmtId="0" fontId="5" fillId="4" borderId="18" xfId="0" applyFont="1" applyFill="1" applyBorder="1" applyAlignment="1">
      <alignment horizontal="center" vertical="center" textRotation="90" wrapText="1"/>
    </xf>
    <xf numFmtId="0" fontId="5" fillId="8" borderId="16" xfId="0" applyFont="1" applyFill="1" applyBorder="1" applyAlignment="1">
      <alignment horizontal="center" vertical="center" textRotation="90"/>
    </xf>
    <xf numFmtId="0" fontId="5" fillId="8" borderId="21" xfId="0" applyFont="1" applyFill="1" applyBorder="1" applyAlignment="1">
      <alignment horizontal="center" vertical="center" textRotation="90"/>
    </xf>
    <xf numFmtId="0" fontId="5" fillId="8" borderId="20" xfId="0" applyFont="1" applyFill="1" applyBorder="1" applyAlignment="1">
      <alignment horizontal="center" vertical="center" textRotation="90"/>
    </xf>
    <xf numFmtId="0" fontId="5" fillId="8" borderId="18" xfId="0" applyFont="1" applyFill="1" applyBorder="1" applyAlignment="1">
      <alignment horizontal="center" vertical="center" textRotation="90"/>
    </xf>
    <xf numFmtId="0" fontId="5" fillId="6" borderId="16" xfId="0" applyFont="1" applyFill="1" applyBorder="1" applyAlignment="1">
      <alignment horizontal="center" vertical="center" textRotation="90"/>
    </xf>
    <xf numFmtId="0" fontId="5" fillId="6" borderId="21" xfId="0" applyFont="1" applyFill="1" applyBorder="1" applyAlignment="1">
      <alignment horizontal="center" vertical="center" textRotation="90"/>
    </xf>
    <xf numFmtId="0" fontId="5" fillId="6" borderId="18" xfId="0" applyFont="1" applyFill="1" applyBorder="1" applyAlignment="1">
      <alignment horizontal="center" vertical="center" textRotation="90"/>
    </xf>
    <xf numFmtId="0" fontId="5" fillId="2" borderId="4" xfId="0" applyFont="1" applyFill="1" applyBorder="1" applyAlignment="1">
      <alignment horizontal="center" vertical="center" textRotation="90"/>
    </xf>
    <xf numFmtId="0" fontId="5" fillId="2" borderId="7" xfId="0" applyFont="1" applyFill="1" applyBorder="1" applyAlignment="1">
      <alignment horizontal="center" vertical="center" textRotation="90"/>
    </xf>
    <xf numFmtId="0" fontId="5" fillId="2" borderId="12" xfId="0" applyFont="1" applyFill="1" applyBorder="1" applyAlignment="1">
      <alignment horizontal="center" vertical="center" textRotation="90"/>
    </xf>
    <xf numFmtId="0" fontId="5" fillId="5" borderId="4" xfId="0" applyFont="1" applyFill="1" applyBorder="1" applyAlignment="1">
      <alignment horizontal="center" vertical="center" textRotation="90"/>
    </xf>
    <xf numFmtId="0" fontId="5" fillId="5" borderId="7" xfId="0" applyFont="1" applyFill="1" applyBorder="1" applyAlignment="1">
      <alignment horizontal="center" vertical="center" textRotation="90"/>
    </xf>
    <xf numFmtId="0" fontId="5" fillId="5" borderId="9" xfId="0" applyFont="1" applyFill="1" applyBorder="1" applyAlignment="1">
      <alignment horizontal="center" vertical="center" textRotation="90"/>
    </xf>
    <xf numFmtId="0" fontId="5" fillId="3" borderId="4" xfId="0" applyFont="1" applyFill="1" applyBorder="1" applyAlignment="1">
      <alignment horizontal="center" vertical="center" textRotation="90"/>
    </xf>
    <xf numFmtId="0" fontId="5" fillId="3" borderId="7" xfId="0" applyFont="1" applyFill="1" applyBorder="1" applyAlignment="1">
      <alignment horizontal="center" vertical="center" textRotation="90"/>
    </xf>
    <xf numFmtId="0" fontId="5" fillId="3" borderId="12" xfId="0" applyFont="1" applyFill="1" applyBorder="1" applyAlignment="1">
      <alignment horizontal="center" vertical="center" textRotation="90"/>
    </xf>
    <xf numFmtId="0" fontId="5" fillId="3" borderId="9" xfId="0" applyFont="1" applyFill="1" applyBorder="1" applyAlignment="1">
      <alignment horizontal="center" vertical="center" textRotation="90"/>
    </xf>
    <xf numFmtId="0" fontId="5" fillId="7" borderId="16" xfId="0" applyFont="1" applyFill="1" applyBorder="1" applyAlignment="1">
      <alignment horizontal="center" vertical="center" textRotation="90" wrapText="1"/>
    </xf>
    <xf numFmtId="0" fontId="5" fillId="7" borderId="21" xfId="0" applyFont="1" applyFill="1" applyBorder="1" applyAlignment="1">
      <alignment horizontal="center" vertical="center" textRotation="90" wrapText="1"/>
    </xf>
    <xf numFmtId="0" fontId="5" fillId="7" borderId="18" xfId="0" applyFont="1" applyFill="1" applyBorder="1" applyAlignment="1">
      <alignment horizontal="center" vertical="center" textRotation="90" wrapText="1"/>
    </xf>
    <xf numFmtId="0" fontId="5" fillId="8" borderId="16" xfId="0" applyFont="1" applyFill="1" applyBorder="1" applyAlignment="1">
      <alignment horizontal="center" vertical="center" textRotation="90" wrapText="1"/>
    </xf>
    <xf numFmtId="0" fontId="5" fillId="8" borderId="21" xfId="0" applyFont="1" applyFill="1" applyBorder="1" applyAlignment="1">
      <alignment horizontal="center" vertical="center" textRotation="90" wrapText="1"/>
    </xf>
    <xf numFmtId="0" fontId="5" fillId="8" borderId="18" xfId="0" applyFont="1" applyFill="1" applyBorder="1" applyAlignment="1">
      <alignment horizontal="center" vertical="center" textRotation="90" wrapText="1"/>
    </xf>
    <xf numFmtId="0" fontId="5" fillId="7" borderId="16" xfId="0" applyFont="1" applyFill="1" applyBorder="1" applyAlignment="1">
      <alignment horizontal="center" vertical="center" textRotation="90"/>
    </xf>
    <xf numFmtId="0" fontId="5" fillId="7" borderId="21" xfId="0" applyFont="1" applyFill="1" applyBorder="1" applyAlignment="1">
      <alignment horizontal="center" vertical="center" textRotation="90"/>
    </xf>
    <xf numFmtId="0" fontId="5" fillId="7" borderId="18" xfId="0" applyFont="1" applyFill="1" applyBorder="1" applyAlignment="1">
      <alignment horizontal="center" vertical="center" textRotation="9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93"/>
  <sheetViews>
    <sheetView tabSelected="1" workbookViewId="0">
      <selection activeCell="E75" sqref="E75"/>
    </sheetView>
  </sheetViews>
  <sheetFormatPr defaultRowHeight="15" x14ac:dyDescent="0.25"/>
  <cols>
    <col min="2" max="2" width="8.85546875" customWidth="1"/>
    <col min="3" max="3" width="9.85546875" style="1" customWidth="1"/>
    <col min="4" max="4" width="31" customWidth="1"/>
    <col min="5" max="6" width="9.140625" style="1" customWidth="1"/>
    <col min="7" max="7" width="4.28515625" customWidth="1"/>
    <col min="8" max="8" width="12.85546875" style="1" customWidth="1"/>
    <col min="9" max="10" width="15.140625" style="1" customWidth="1"/>
    <col min="11" max="11" width="12" style="1" customWidth="1"/>
    <col min="12" max="12" width="14.140625" style="1" customWidth="1"/>
    <col min="13" max="13" width="7.85546875" customWidth="1"/>
    <col min="14" max="14" width="10.5703125" bestFit="1" customWidth="1"/>
  </cols>
  <sheetData>
    <row r="1" spans="2:18" ht="30" x14ac:dyDescent="0.25">
      <c r="C1" s="24" t="s">
        <v>76</v>
      </c>
      <c r="E1" s="24" t="s">
        <v>68</v>
      </c>
      <c r="F1" s="24" t="s">
        <v>73</v>
      </c>
      <c r="H1" s="25" t="s">
        <v>69</v>
      </c>
      <c r="I1" s="26" t="s">
        <v>70</v>
      </c>
      <c r="J1" s="26" t="s">
        <v>82</v>
      </c>
      <c r="K1" s="26" t="s">
        <v>71</v>
      </c>
      <c r="L1" s="26" t="s">
        <v>74</v>
      </c>
      <c r="M1" s="26"/>
    </row>
    <row r="2" spans="2:18" ht="19.5" thickBot="1" x14ac:dyDescent="0.35">
      <c r="B2" s="7" t="s">
        <v>65</v>
      </c>
      <c r="O2" t="s">
        <v>80</v>
      </c>
      <c r="R2">
        <v>0</v>
      </c>
    </row>
    <row r="3" spans="2:18" x14ac:dyDescent="0.25">
      <c r="B3" s="139" t="s">
        <v>66</v>
      </c>
      <c r="C3" s="27">
        <v>8</v>
      </c>
      <c r="D3" s="5" t="s">
        <v>18</v>
      </c>
      <c r="E3" s="27">
        <v>8</v>
      </c>
      <c r="F3" s="95">
        <v>9</v>
      </c>
      <c r="H3" s="48"/>
      <c r="I3" s="49" t="str">
        <f>IF($R$3=1,MAX(0,C3-E3+H3),"")</f>
        <v/>
      </c>
      <c r="J3" s="49"/>
      <c r="K3" s="27" t="str">
        <f>IF(AND(ISNUMBER(E3),$R$2=1),E3-H3+J3,"")</f>
        <v/>
      </c>
      <c r="L3" s="95" t="str">
        <f>IF(ISNUMBER(J3),J3*F3,IF(AND(ISNUMBER(I3),I3&gt;0),I3*F3,""))</f>
        <v/>
      </c>
      <c r="O3" t="s">
        <v>81</v>
      </c>
      <c r="R3">
        <v>0</v>
      </c>
    </row>
    <row r="4" spans="2:18" x14ac:dyDescent="0.25">
      <c r="B4" s="140"/>
      <c r="C4" s="28">
        <v>20</v>
      </c>
      <c r="D4" s="4" t="s">
        <v>19</v>
      </c>
      <c r="E4" s="28">
        <v>30</v>
      </c>
      <c r="F4" s="96">
        <v>2.5</v>
      </c>
      <c r="H4" s="50"/>
      <c r="I4" s="51" t="str">
        <f>IF($R$3=1,MAX(0,C4-E4+H4),"")</f>
        <v/>
      </c>
      <c r="J4" s="51"/>
      <c r="K4" s="28" t="str">
        <f t="shared" ref="K4:K68" si="0">IF(AND(ISNUMBER(E4),$R$2=1),E4-H4+J4,"")</f>
        <v/>
      </c>
      <c r="L4" s="96" t="str">
        <f>IF(ISNUMBER(J4),J4*F4,IF(AND(ISNUMBER(I4),I4&gt;0),I4*F4,""))</f>
        <v/>
      </c>
    </row>
    <row r="5" spans="2:18" ht="15" customHeight="1" x14ac:dyDescent="0.25">
      <c r="B5" s="140"/>
      <c r="C5" s="29">
        <v>6</v>
      </c>
      <c r="D5" s="22" t="s">
        <v>54</v>
      </c>
      <c r="E5" s="29">
        <v>9</v>
      </c>
      <c r="F5" s="97">
        <f>490/12</f>
        <v>40.833333333333336</v>
      </c>
      <c r="H5" s="52"/>
      <c r="I5" s="53" t="str">
        <f>IF($R$3=1,MAX(0,C5-E5+H5),"")</f>
        <v/>
      </c>
      <c r="J5" s="53"/>
      <c r="K5" s="29" t="str">
        <f t="shared" si="0"/>
        <v/>
      </c>
      <c r="L5" s="97" t="str">
        <f>IF(ISNUMBER(J5),J5*F5,IF(AND(ISNUMBER(I5),I5&gt;0),I5*F5,""))</f>
        <v/>
      </c>
    </row>
    <row r="6" spans="2:18" ht="15.75" thickBot="1" x14ac:dyDescent="0.3">
      <c r="B6" s="141"/>
      <c r="C6" s="30">
        <v>6</v>
      </c>
      <c r="D6" s="23" t="s">
        <v>55</v>
      </c>
      <c r="E6" s="30">
        <v>11</v>
      </c>
      <c r="F6" s="98">
        <v>0</v>
      </c>
      <c r="H6" s="54"/>
      <c r="I6" s="55" t="str">
        <f>IF($R$3=1,MAX(0,C6-E6+H6),"")</f>
        <v/>
      </c>
      <c r="J6" s="55"/>
      <c r="K6" s="30" t="str">
        <f t="shared" si="0"/>
        <v/>
      </c>
      <c r="L6" s="98" t="str">
        <f>IF(ISNUMBER(J6),J6*F6,IF(AND(ISNUMBER(I6),I6&gt;0),I6*F6,""))</f>
        <v/>
      </c>
    </row>
    <row r="7" spans="2:18" x14ac:dyDescent="0.25">
      <c r="E7" s="1" t="s">
        <v>79</v>
      </c>
      <c r="F7" s="99"/>
      <c r="K7" s="1" t="str">
        <f t="shared" si="0"/>
        <v/>
      </c>
      <c r="L7" s="99"/>
    </row>
    <row r="8" spans="2:18" ht="19.5" thickBot="1" x14ac:dyDescent="0.35">
      <c r="B8" s="7" t="s">
        <v>20</v>
      </c>
      <c r="E8" s="1" t="s">
        <v>79</v>
      </c>
      <c r="F8" s="99"/>
      <c r="K8" s="1" t="str">
        <f t="shared" si="0"/>
        <v/>
      </c>
      <c r="L8" s="99"/>
    </row>
    <row r="9" spans="2:18" x14ac:dyDescent="0.25">
      <c r="B9" s="149" t="s">
        <v>21</v>
      </c>
      <c r="C9" s="31">
        <v>10</v>
      </c>
      <c r="D9" s="11" t="s">
        <v>22</v>
      </c>
      <c r="E9" s="31">
        <v>10</v>
      </c>
      <c r="F9" s="100">
        <v>6.5</v>
      </c>
      <c r="H9" s="56"/>
      <c r="I9" s="57" t="str">
        <f t="shared" ref="I9:I23" si="1">IF($R$3=1,MAX(0,C9-E9+H9),"")</f>
        <v/>
      </c>
      <c r="J9" s="57"/>
      <c r="K9" s="31" t="str">
        <f t="shared" si="0"/>
        <v/>
      </c>
      <c r="L9" s="100" t="str">
        <f t="shared" ref="L9:L23" si="2">IF(ISNUMBER(J9),J9*F9,IF(AND(ISNUMBER(I9),I9&gt;0),I9*F9,""))</f>
        <v/>
      </c>
    </row>
    <row r="10" spans="2:18" x14ac:dyDescent="0.25">
      <c r="B10" s="150"/>
      <c r="C10" s="32">
        <v>8</v>
      </c>
      <c r="D10" s="12" t="s">
        <v>23</v>
      </c>
      <c r="E10" s="32">
        <v>8</v>
      </c>
      <c r="F10" s="101">
        <v>6.5</v>
      </c>
      <c r="H10" s="58"/>
      <c r="I10" s="59" t="str">
        <f t="shared" si="1"/>
        <v/>
      </c>
      <c r="J10" s="59"/>
      <c r="K10" s="32" t="str">
        <f t="shared" si="0"/>
        <v/>
      </c>
      <c r="L10" s="101" t="str">
        <f t="shared" si="2"/>
        <v/>
      </c>
    </row>
    <row r="11" spans="2:18" x14ac:dyDescent="0.25">
      <c r="B11" s="150"/>
      <c r="C11" s="32">
        <v>50</v>
      </c>
      <c r="D11" s="12" t="s">
        <v>24</v>
      </c>
      <c r="E11" s="32">
        <v>53</v>
      </c>
      <c r="F11" s="101">
        <v>3.5</v>
      </c>
      <c r="H11" s="58"/>
      <c r="I11" s="59" t="str">
        <f t="shared" si="1"/>
        <v/>
      </c>
      <c r="J11" s="59"/>
      <c r="K11" s="32" t="str">
        <f t="shared" si="0"/>
        <v/>
      </c>
      <c r="L11" s="101" t="str">
        <f t="shared" si="2"/>
        <v/>
      </c>
    </row>
    <row r="12" spans="2:18" ht="15.75" thickBot="1" x14ac:dyDescent="0.3">
      <c r="B12" s="151"/>
      <c r="C12" s="33">
        <v>35</v>
      </c>
      <c r="D12" s="13" t="s">
        <v>25</v>
      </c>
      <c r="E12" s="33">
        <v>44</v>
      </c>
      <c r="F12" s="101">
        <v>3.5</v>
      </c>
      <c r="H12" s="60"/>
      <c r="I12" s="61" t="str">
        <f t="shared" si="1"/>
        <v/>
      </c>
      <c r="J12" s="61"/>
      <c r="K12" s="62" t="str">
        <f t="shared" si="0"/>
        <v/>
      </c>
      <c r="L12" s="101" t="str">
        <f t="shared" si="2"/>
        <v/>
      </c>
    </row>
    <row r="13" spans="2:18" x14ac:dyDescent="0.25">
      <c r="B13" s="152" t="s">
        <v>14</v>
      </c>
      <c r="C13" s="34">
        <v>12</v>
      </c>
      <c r="D13" s="18" t="s">
        <v>26</v>
      </c>
      <c r="E13" s="34">
        <v>12</v>
      </c>
      <c r="F13" s="102">
        <v>6.5</v>
      </c>
      <c r="H13" s="63"/>
      <c r="I13" s="64" t="str">
        <f t="shared" si="1"/>
        <v/>
      </c>
      <c r="J13" s="64"/>
      <c r="K13" s="65" t="str">
        <f t="shared" si="0"/>
        <v/>
      </c>
      <c r="L13" s="102" t="str">
        <f t="shared" si="2"/>
        <v/>
      </c>
    </row>
    <row r="14" spans="2:18" x14ac:dyDescent="0.25">
      <c r="B14" s="153"/>
      <c r="C14" s="35">
        <v>10</v>
      </c>
      <c r="D14" s="19" t="s">
        <v>27</v>
      </c>
      <c r="E14" s="35">
        <v>10</v>
      </c>
      <c r="F14" s="103">
        <v>6.5</v>
      </c>
      <c r="H14" s="66"/>
      <c r="I14" s="67" t="str">
        <f t="shared" si="1"/>
        <v/>
      </c>
      <c r="J14" s="67"/>
      <c r="K14" s="35" t="str">
        <f t="shared" si="0"/>
        <v/>
      </c>
      <c r="L14" s="103" t="str">
        <f t="shared" si="2"/>
        <v/>
      </c>
    </row>
    <row r="15" spans="2:18" x14ac:dyDescent="0.25">
      <c r="B15" s="153"/>
      <c r="C15" s="35">
        <v>75</v>
      </c>
      <c r="D15" s="19" t="s">
        <v>28</v>
      </c>
      <c r="E15" s="35">
        <v>84</v>
      </c>
      <c r="F15" s="103">
        <v>3.5</v>
      </c>
      <c r="H15" s="66"/>
      <c r="I15" s="67" t="str">
        <f t="shared" si="1"/>
        <v/>
      </c>
      <c r="J15" s="67"/>
      <c r="K15" s="35" t="str">
        <f t="shared" si="0"/>
        <v/>
      </c>
      <c r="L15" s="103" t="str">
        <f t="shared" si="2"/>
        <v/>
      </c>
    </row>
    <row r="16" spans="2:18" ht="15.75" thickBot="1" x14ac:dyDescent="0.3">
      <c r="B16" s="154"/>
      <c r="C16" s="36">
        <v>60</v>
      </c>
      <c r="D16" s="20" t="s">
        <v>29</v>
      </c>
      <c r="E16" s="36">
        <v>86</v>
      </c>
      <c r="F16" s="103">
        <v>3.5</v>
      </c>
      <c r="H16" s="68"/>
      <c r="I16" s="69" t="str">
        <f t="shared" si="1"/>
        <v/>
      </c>
      <c r="J16" s="69"/>
      <c r="K16" s="70" t="str">
        <f t="shared" si="0"/>
        <v/>
      </c>
      <c r="L16" s="103" t="str">
        <f t="shared" si="2"/>
        <v/>
      </c>
    </row>
    <row r="17" spans="2:14" x14ac:dyDescent="0.25">
      <c r="B17" s="155" t="s">
        <v>30</v>
      </c>
      <c r="C17" s="37">
        <v>16</v>
      </c>
      <c r="D17" s="3" t="s">
        <v>31</v>
      </c>
      <c r="E17" s="37">
        <v>16</v>
      </c>
      <c r="F17" s="104">
        <v>6.5</v>
      </c>
      <c r="H17" s="71"/>
      <c r="I17" s="72" t="str">
        <f t="shared" si="1"/>
        <v/>
      </c>
      <c r="J17" s="72"/>
      <c r="K17" s="37" t="str">
        <f t="shared" si="0"/>
        <v/>
      </c>
      <c r="L17" s="104" t="str">
        <f t="shared" si="2"/>
        <v/>
      </c>
    </row>
    <row r="18" spans="2:14" x14ac:dyDescent="0.25">
      <c r="B18" s="156"/>
      <c r="C18" s="38">
        <v>12</v>
      </c>
      <c r="D18" s="2" t="s">
        <v>32</v>
      </c>
      <c r="E18" s="38">
        <v>12</v>
      </c>
      <c r="F18" s="105">
        <v>6.5</v>
      </c>
      <c r="H18" s="73"/>
      <c r="I18" s="74" t="str">
        <f t="shared" si="1"/>
        <v/>
      </c>
      <c r="J18" s="74"/>
      <c r="K18" s="38" t="str">
        <f t="shared" si="0"/>
        <v/>
      </c>
      <c r="L18" s="105" t="str">
        <f t="shared" si="2"/>
        <v/>
      </c>
    </row>
    <row r="19" spans="2:14" x14ac:dyDescent="0.25">
      <c r="B19" s="156"/>
      <c r="C19" s="38">
        <v>65</v>
      </c>
      <c r="D19" s="2" t="s">
        <v>33</v>
      </c>
      <c r="E19" s="38">
        <v>81</v>
      </c>
      <c r="F19" s="105">
        <v>3.5</v>
      </c>
      <c r="H19" s="73"/>
      <c r="I19" s="74" t="str">
        <f t="shared" si="1"/>
        <v/>
      </c>
      <c r="J19" s="74"/>
      <c r="K19" s="38" t="str">
        <f t="shared" si="0"/>
        <v/>
      </c>
      <c r="L19" s="105" t="str">
        <f t="shared" si="2"/>
        <v/>
      </c>
    </row>
    <row r="20" spans="2:14" x14ac:dyDescent="0.25">
      <c r="B20" s="157"/>
      <c r="C20" s="39">
        <v>40</v>
      </c>
      <c r="D20" s="10" t="s">
        <v>34</v>
      </c>
      <c r="E20" s="39">
        <v>58</v>
      </c>
      <c r="F20" s="105">
        <v>3.5</v>
      </c>
      <c r="H20" s="73"/>
      <c r="I20" s="74" t="str">
        <f t="shared" si="1"/>
        <v/>
      </c>
      <c r="J20" s="74"/>
      <c r="K20" s="38" t="str">
        <f t="shared" si="0"/>
        <v/>
      </c>
      <c r="L20" s="105" t="str">
        <f t="shared" si="2"/>
        <v/>
      </c>
    </row>
    <row r="21" spans="2:14" x14ac:dyDescent="0.25">
      <c r="B21" s="157"/>
      <c r="C21" s="39">
        <v>20</v>
      </c>
      <c r="D21" s="10" t="s">
        <v>35</v>
      </c>
      <c r="E21" s="39">
        <v>59</v>
      </c>
      <c r="F21" s="106">
        <f>5.5/9</f>
        <v>0.61111111111111116</v>
      </c>
      <c r="H21" s="73"/>
      <c r="I21" s="74" t="str">
        <f t="shared" si="1"/>
        <v/>
      </c>
      <c r="J21" s="74"/>
      <c r="K21" s="38" t="str">
        <f t="shared" si="0"/>
        <v/>
      </c>
      <c r="L21" s="106" t="str">
        <f t="shared" si="2"/>
        <v/>
      </c>
    </row>
    <row r="22" spans="2:14" x14ac:dyDescent="0.25">
      <c r="B22" s="157"/>
      <c r="C22" s="39">
        <v>20</v>
      </c>
      <c r="D22" s="10" t="s">
        <v>13</v>
      </c>
      <c r="E22" s="39">
        <v>81</v>
      </c>
      <c r="F22" s="106">
        <f>5.5/9</f>
        <v>0.61111111111111116</v>
      </c>
      <c r="H22" s="73"/>
      <c r="I22" s="74" t="str">
        <f t="shared" si="1"/>
        <v/>
      </c>
      <c r="J22" s="74"/>
      <c r="K22" s="38" t="str">
        <f t="shared" si="0"/>
        <v/>
      </c>
      <c r="L22" s="106" t="str">
        <f t="shared" si="2"/>
        <v/>
      </c>
    </row>
    <row r="23" spans="2:14" ht="15.75" thickBot="1" x14ac:dyDescent="0.3">
      <c r="B23" s="158"/>
      <c r="C23" s="40">
        <v>6</v>
      </c>
      <c r="D23" s="6" t="s">
        <v>36</v>
      </c>
      <c r="E23" s="40">
        <v>7</v>
      </c>
      <c r="F23" s="107">
        <v>6</v>
      </c>
      <c r="H23" s="75"/>
      <c r="I23" s="76" t="str">
        <f t="shared" si="1"/>
        <v/>
      </c>
      <c r="J23" s="76"/>
      <c r="K23" s="40" t="str">
        <f t="shared" si="0"/>
        <v/>
      </c>
      <c r="L23" s="107" t="str">
        <f t="shared" si="2"/>
        <v/>
      </c>
    </row>
    <row r="24" spans="2:14" x14ac:dyDescent="0.25">
      <c r="E24" s="1" t="s">
        <v>79</v>
      </c>
      <c r="F24" s="99"/>
      <c r="K24" s="1" t="str">
        <f t="shared" si="0"/>
        <v/>
      </c>
      <c r="L24" s="99"/>
    </row>
    <row r="25" spans="2:14" ht="19.5" thickBot="1" x14ac:dyDescent="0.35">
      <c r="B25" s="7" t="s">
        <v>37</v>
      </c>
      <c r="E25" s="1" t="s">
        <v>79</v>
      </c>
      <c r="F25" s="99"/>
      <c r="K25" s="1" t="str">
        <f t="shared" si="0"/>
        <v/>
      </c>
      <c r="L25" s="99"/>
    </row>
    <row r="26" spans="2:14" x14ac:dyDescent="0.25">
      <c r="B26" s="159" t="s">
        <v>46</v>
      </c>
      <c r="C26" s="41">
        <v>15</v>
      </c>
      <c r="D26" s="8" t="s">
        <v>39</v>
      </c>
      <c r="E26" s="41">
        <v>15</v>
      </c>
      <c r="F26" s="108">
        <v>6.5</v>
      </c>
      <c r="H26" s="77"/>
      <c r="I26" s="78" t="str">
        <f>IF($R$3=1,MAX(0,C26-E26+H26),"")</f>
        <v/>
      </c>
      <c r="J26" s="78"/>
      <c r="K26" s="41" t="str">
        <f t="shared" si="0"/>
        <v/>
      </c>
      <c r="L26" s="108" t="str">
        <f>IF(ISNUMBER(J26),J26*F26,IF(AND(ISNUMBER(I26),I26&gt;0),I26*F26,""))</f>
        <v/>
      </c>
    </row>
    <row r="27" spans="2:14" x14ac:dyDescent="0.25">
      <c r="B27" s="160"/>
      <c r="C27" s="42">
        <v>8</v>
      </c>
      <c r="D27" s="9" t="s">
        <v>38</v>
      </c>
      <c r="E27" s="42">
        <v>8</v>
      </c>
      <c r="F27" s="109">
        <v>13</v>
      </c>
      <c r="H27" s="79"/>
      <c r="I27" s="80" t="str">
        <f>IF($R$3=1,MAX(0,C27-E27+H27),"")</f>
        <v/>
      </c>
      <c r="J27" s="80"/>
      <c r="K27" s="42" t="str">
        <f t="shared" si="0"/>
        <v/>
      </c>
      <c r="L27" s="109" t="str">
        <f>IF(ISNUMBER(J27),J27*F27,IF(AND(ISNUMBER(I27),I27&gt;0),I27*F27,""))</f>
        <v/>
      </c>
      <c r="N27" s="132"/>
    </row>
    <row r="28" spans="2:14" x14ac:dyDescent="0.25">
      <c r="B28" s="160"/>
      <c r="C28" s="42">
        <v>6</v>
      </c>
      <c r="D28" s="9" t="s">
        <v>40</v>
      </c>
      <c r="E28" s="42">
        <v>6</v>
      </c>
      <c r="F28" s="109">
        <v>13</v>
      </c>
      <c r="H28" s="79"/>
      <c r="I28" s="80" t="str">
        <f>IF($R$3=1,MAX(0,C28-E28+H28),"")</f>
        <v/>
      </c>
      <c r="J28" s="80"/>
      <c r="K28" s="42" t="str">
        <f t="shared" si="0"/>
        <v/>
      </c>
      <c r="L28" s="109" t="str">
        <f>IF(ISNUMBER(J28),J28*F28,IF(AND(ISNUMBER(I28),I28&gt;0),I28*F28,""))</f>
        <v/>
      </c>
      <c r="N28" s="132"/>
    </row>
    <row r="29" spans="2:14" x14ac:dyDescent="0.25">
      <c r="B29" s="160"/>
      <c r="C29" s="42">
        <v>30</v>
      </c>
      <c r="D29" s="9" t="s">
        <v>41</v>
      </c>
      <c r="E29" s="42">
        <v>30</v>
      </c>
      <c r="F29" s="109">
        <v>4</v>
      </c>
      <c r="H29" s="79"/>
      <c r="I29" s="80" t="str">
        <f>IF($R$3=1,MAX(0,C29-E29+H29),"")</f>
        <v/>
      </c>
      <c r="J29" s="80"/>
      <c r="K29" s="42" t="str">
        <f>IF(AND(ISNUMBER(E29),$R$2=1),E29-H29+J29,"")</f>
        <v/>
      </c>
      <c r="L29" s="109" t="str">
        <f>IF(ISNUMBER(J29),J29*F29,IF(AND(ISNUMBER(I29),I29&gt;0),I29*F29,""))</f>
        <v/>
      </c>
    </row>
    <row r="30" spans="2:14" ht="15.75" thickBot="1" x14ac:dyDescent="0.3">
      <c r="B30" s="161"/>
      <c r="C30" s="130">
        <v>5</v>
      </c>
      <c r="D30" s="133" t="s">
        <v>102</v>
      </c>
      <c r="E30" s="130">
        <v>5</v>
      </c>
      <c r="F30" s="131">
        <v>6</v>
      </c>
      <c r="H30" s="128"/>
      <c r="I30" s="129" t="str">
        <f>IF($R$3=1,MAX(0,C30-E30+H30),"")</f>
        <v/>
      </c>
      <c r="J30" s="134"/>
      <c r="K30" s="130" t="str">
        <f>IF(AND(ISNUMBER(E30),$R$2=1),E30-H30+J30,"")</f>
        <v/>
      </c>
      <c r="L30" s="131" t="str">
        <f>IF(ISNUMBER(J30),J30*F30,IF(AND(ISNUMBER(I30),I30&gt;0),I30*F30,""))</f>
        <v/>
      </c>
    </row>
    <row r="31" spans="2:14" x14ac:dyDescent="0.25">
      <c r="E31" s="1" t="s">
        <v>79</v>
      </c>
      <c r="F31" s="99"/>
      <c r="K31" s="1" t="str">
        <f t="shared" si="0"/>
        <v/>
      </c>
      <c r="L31" s="99"/>
    </row>
    <row r="32" spans="2:14" ht="19.5" thickBot="1" x14ac:dyDescent="0.35">
      <c r="B32" s="7" t="s">
        <v>42</v>
      </c>
      <c r="E32" s="1" t="s">
        <v>79</v>
      </c>
      <c r="F32" s="99"/>
      <c r="K32" s="1" t="str">
        <f t="shared" si="0"/>
        <v/>
      </c>
      <c r="L32" s="99"/>
    </row>
    <row r="33" spans="2:12" ht="18" customHeight="1" x14ac:dyDescent="0.25">
      <c r="B33" s="162" t="s">
        <v>43</v>
      </c>
      <c r="C33" s="44">
        <v>4</v>
      </c>
      <c r="D33" s="15" t="s">
        <v>44</v>
      </c>
      <c r="E33" s="44">
        <v>4</v>
      </c>
      <c r="F33" s="111">
        <v>13</v>
      </c>
      <c r="H33" s="83"/>
      <c r="I33" s="84" t="str">
        <f>IF($R$3=1,MAX(0,C33-E33+H33),"")</f>
        <v/>
      </c>
      <c r="J33" s="84"/>
      <c r="K33" s="44" t="str">
        <f t="shared" si="0"/>
        <v/>
      </c>
      <c r="L33" s="111" t="str">
        <f>IF(ISNUMBER(J33),J33*F33,IF(AND(ISNUMBER(I33),I33&gt;0),I33*F33,""))</f>
        <v/>
      </c>
    </row>
    <row r="34" spans="2:12" ht="18" customHeight="1" x14ac:dyDescent="0.25">
      <c r="B34" s="163"/>
      <c r="C34" s="45">
        <v>3</v>
      </c>
      <c r="D34" s="16" t="s">
        <v>101</v>
      </c>
      <c r="E34" s="45">
        <v>4</v>
      </c>
      <c r="F34" s="112">
        <v>13</v>
      </c>
      <c r="H34" s="85"/>
      <c r="I34" s="86" t="str">
        <f>IF($R$3=1,MAX(0,C34-E34+H34),"")</f>
        <v/>
      </c>
      <c r="J34" s="135"/>
      <c r="K34" s="45" t="str">
        <f>IF(AND(ISNUMBER(E34),$R$2=1),E34-H34+J34,"")</f>
        <v/>
      </c>
      <c r="L34" s="112" t="str">
        <f>IF(ISNUMBER(J34),J34*F34,IF(AND(ISNUMBER(I34),I34&gt;0),I34*F34,""))</f>
        <v/>
      </c>
    </row>
    <row r="35" spans="2:12" ht="18" customHeight="1" x14ac:dyDescent="0.25">
      <c r="B35" s="163"/>
      <c r="C35" s="45">
        <v>2</v>
      </c>
      <c r="D35" s="16" t="s">
        <v>45</v>
      </c>
      <c r="E35" s="45">
        <v>3</v>
      </c>
      <c r="F35" s="112">
        <v>13</v>
      </c>
      <c r="H35" s="85"/>
      <c r="I35" s="86" t="str">
        <f>IF($R$3=1,MAX(0,C35-E35+H35),"")</f>
        <v/>
      </c>
      <c r="J35" s="86"/>
      <c r="K35" s="45" t="str">
        <f t="shared" si="0"/>
        <v/>
      </c>
      <c r="L35" s="112" t="str">
        <f>IF(ISNUMBER(J35),J35*F35,IF(AND(ISNUMBER(I35),I35&gt;0),I35*F35,""))</f>
        <v/>
      </c>
    </row>
    <row r="36" spans="2:12" ht="18" customHeight="1" thickBot="1" x14ac:dyDescent="0.3">
      <c r="B36" s="164"/>
      <c r="C36" s="46">
        <v>20</v>
      </c>
      <c r="D36" s="17" t="s">
        <v>72</v>
      </c>
      <c r="E36" s="46">
        <v>30</v>
      </c>
      <c r="F36" s="113">
        <v>4</v>
      </c>
      <c r="H36" s="87"/>
      <c r="I36" s="88" t="str">
        <f>IF($R$3=1,MAX(0,C36-E36+H36),"")</f>
        <v/>
      </c>
      <c r="J36" s="88"/>
      <c r="K36" s="46" t="str">
        <f t="shared" si="0"/>
        <v/>
      </c>
      <c r="L36" s="113" t="str">
        <f>IF(ISNUMBER(J36),J36*F36,IF(AND(ISNUMBER(I36),I36&gt;0),I36*F36,""))</f>
        <v/>
      </c>
    </row>
    <row r="37" spans="2:12" x14ac:dyDescent="0.25">
      <c r="E37" s="1" t="s">
        <v>79</v>
      </c>
      <c r="F37" s="99"/>
      <c r="K37" s="1" t="str">
        <f t="shared" si="0"/>
        <v/>
      </c>
      <c r="L37" s="99"/>
    </row>
    <row r="38" spans="2:12" ht="19.5" thickBot="1" x14ac:dyDescent="0.35">
      <c r="B38" s="7" t="s">
        <v>49</v>
      </c>
      <c r="E38" s="1" t="s">
        <v>79</v>
      </c>
      <c r="F38" s="99"/>
      <c r="K38" s="1" t="str">
        <f t="shared" si="0"/>
        <v/>
      </c>
      <c r="L38" s="99"/>
    </row>
    <row r="39" spans="2:12" x14ac:dyDescent="0.25">
      <c r="B39" s="165" t="s">
        <v>50</v>
      </c>
      <c r="C39" s="41">
        <v>10</v>
      </c>
      <c r="D39" s="8" t="s">
        <v>0</v>
      </c>
      <c r="E39" s="41">
        <v>12</v>
      </c>
      <c r="F39" s="108">
        <v>6.5</v>
      </c>
      <c r="H39" s="77"/>
      <c r="I39" s="78" t="str">
        <f t="shared" ref="I39:I56" si="3">IF($R$3=1,MAX(0,C39-E39+H39),"")</f>
        <v/>
      </c>
      <c r="J39" s="78"/>
      <c r="K39" s="41" t="str">
        <f t="shared" si="0"/>
        <v/>
      </c>
      <c r="L39" s="108" t="str">
        <f t="shared" ref="L39:L45" si="4">IF(ISNUMBER(J39),J39*F39,IF(AND(ISNUMBER(I39),I39&gt;0),I39*F39,""))</f>
        <v/>
      </c>
    </row>
    <row r="40" spans="2:12" x14ac:dyDescent="0.25">
      <c r="B40" s="166"/>
      <c r="C40" s="42">
        <v>10</v>
      </c>
      <c r="D40" s="9" t="s">
        <v>1</v>
      </c>
      <c r="E40" s="42">
        <v>12</v>
      </c>
      <c r="F40" s="109">
        <v>6.5</v>
      </c>
      <c r="H40" s="79"/>
      <c r="I40" s="80" t="str">
        <f t="shared" si="3"/>
        <v/>
      </c>
      <c r="J40" s="80"/>
      <c r="K40" s="42" t="str">
        <f t="shared" si="0"/>
        <v/>
      </c>
      <c r="L40" s="109" t="str">
        <f t="shared" si="4"/>
        <v/>
      </c>
    </row>
    <row r="41" spans="2:12" ht="18" customHeight="1" x14ac:dyDescent="0.25">
      <c r="B41" s="166"/>
      <c r="C41" s="42">
        <v>10</v>
      </c>
      <c r="D41" s="9" t="s">
        <v>12</v>
      </c>
      <c r="E41" s="42">
        <v>12</v>
      </c>
      <c r="F41" s="109">
        <v>6.5</v>
      </c>
      <c r="H41" s="79"/>
      <c r="I41" s="80" t="str">
        <f t="shared" si="3"/>
        <v/>
      </c>
      <c r="J41" s="80"/>
      <c r="K41" s="42" t="str">
        <f t="shared" si="0"/>
        <v/>
      </c>
      <c r="L41" s="109" t="str">
        <f t="shared" si="4"/>
        <v/>
      </c>
    </row>
    <row r="42" spans="2:12" ht="18" customHeight="1" x14ac:dyDescent="0.25">
      <c r="B42" s="166"/>
      <c r="C42" s="42">
        <v>10</v>
      </c>
      <c r="D42" s="9" t="s">
        <v>48</v>
      </c>
      <c r="E42" s="42">
        <v>12</v>
      </c>
      <c r="F42" s="109">
        <v>6.5</v>
      </c>
      <c r="H42" s="79"/>
      <c r="I42" s="80" t="str">
        <f t="shared" si="3"/>
        <v/>
      </c>
      <c r="J42" s="80"/>
      <c r="K42" s="42" t="str">
        <f t="shared" si="0"/>
        <v/>
      </c>
      <c r="L42" s="109" t="str">
        <f t="shared" si="4"/>
        <v/>
      </c>
    </row>
    <row r="43" spans="2:12" ht="18" customHeight="1" x14ac:dyDescent="0.25">
      <c r="B43" s="166"/>
      <c r="C43" s="42">
        <v>10</v>
      </c>
      <c r="D43" s="9" t="s">
        <v>2</v>
      </c>
      <c r="E43" s="42">
        <v>12</v>
      </c>
      <c r="F43" s="109">
        <v>6.5</v>
      </c>
      <c r="H43" s="79"/>
      <c r="I43" s="80" t="str">
        <f t="shared" si="3"/>
        <v/>
      </c>
      <c r="J43" s="80"/>
      <c r="K43" s="42" t="str">
        <f t="shared" si="0"/>
        <v/>
      </c>
      <c r="L43" s="109" t="str">
        <f t="shared" si="4"/>
        <v/>
      </c>
    </row>
    <row r="44" spans="2:12" ht="18" customHeight="1" x14ac:dyDescent="0.25">
      <c r="B44" s="166"/>
      <c r="C44" s="42">
        <v>10</v>
      </c>
      <c r="D44" s="9" t="s">
        <v>15</v>
      </c>
      <c r="E44" s="42">
        <v>12</v>
      </c>
      <c r="F44" s="109">
        <v>6.5</v>
      </c>
      <c r="H44" s="79"/>
      <c r="I44" s="80" t="str">
        <f t="shared" si="3"/>
        <v/>
      </c>
      <c r="J44" s="80"/>
      <c r="K44" s="42" t="str">
        <f t="shared" si="0"/>
        <v/>
      </c>
      <c r="L44" s="109" t="str">
        <f t="shared" si="4"/>
        <v/>
      </c>
    </row>
    <row r="45" spans="2:12" x14ac:dyDescent="0.25">
      <c r="B45" s="166"/>
      <c r="C45" s="42">
        <v>10</v>
      </c>
      <c r="D45" s="9" t="s">
        <v>3</v>
      </c>
      <c r="E45" s="42">
        <v>12</v>
      </c>
      <c r="F45" s="109">
        <v>6.5</v>
      </c>
      <c r="H45" s="79"/>
      <c r="I45" s="80" t="str">
        <f t="shared" si="3"/>
        <v/>
      </c>
      <c r="J45" s="80"/>
      <c r="K45" s="42" t="str">
        <f t="shared" si="0"/>
        <v/>
      </c>
      <c r="L45" s="109" t="str">
        <f t="shared" si="4"/>
        <v/>
      </c>
    </row>
    <row r="46" spans="2:12" x14ac:dyDescent="0.25">
      <c r="B46" s="166"/>
      <c r="C46" s="42">
        <v>10</v>
      </c>
      <c r="D46" s="9" t="s">
        <v>7</v>
      </c>
      <c r="E46" s="42">
        <v>12</v>
      </c>
      <c r="F46" s="109">
        <v>6.5</v>
      </c>
      <c r="H46" s="79"/>
      <c r="I46" s="80" t="str">
        <f t="shared" si="3"/>
        <v/>
      </c>
      <c r="J46" s="80"/>
      <c r="K46" s="42" t="str">
        <f t="shared" si="0"/>
        <v/>
      </c>
      <c r="L46" s="109" t="str">
        <f>IF(ISNUMBER(J46),J46*F46,IF(AND(ISNUMBER(I46),I46&gt;0),I46*F46,""))</f>
        <v/>
      </c>
    </row>
    <row r="47" spans="2:12" ht="15.75" thickBot="1" x14ac:dyDescent="0.3">
      <c r="B47" s="167"/>
      <c r="C47" s="43">
        <v>10</v>
      </c>
      <c r="D47" s="14" t="s">
        <v>95</v>
      </c>
      <c r="E47" s="43">
        <v>20</v>
      </c>
      <c r="F47" s="110">
        <v>6.5</v>
      </c>
      <c r="H47" s="81"/>
      <c r="I47" s="82" t="str">
        <f t="shared" si="3"/>
        <v/>
      </c>
      <c r="J47" s="82"/>
      <c r="K47" s="43" t="str">
        <f t="shared" si="0"/>
        <v/>
      </c>
      <c r="L47" s="110" t="str">
        <f t="shared" ref="L47:L56" si="5">IF(ISNUMBER(J47),J47*F47,IF(AND(ISNUMBER(I47),I47&gt;0),I47*F47,""))</f>
        <v/>
      </c>
    </row>
    <row r="48" spans="2:12" ht="15" customHeight="1" x14ac:dyDescent="0.25">
      <c r="B48" s="142" t="s">
        <v>51</v>
      </c>
      <c r="C48" s="44">
        <v>5</v>
      </c>
      <c r="D48" s="15" t="s">
        <v>17</v>
      </c>
      <c r="E48" s="44">
        <v>5</v>
      </c>
      <c r="F48" s="111">
        <v>6.5</v>
      </c>
      <c r="H48" s="83"/>
      <c r="I48" s="84" t="str">
        <f t="shared" si="3"/>
        <v/>
      </c>
      <c r="J48" s="84"/>
      <c r="K48" s="44" t="str">
        <f t="shared" si="0"/>
        <v/>
      </c>
      <c r="L48" s="111" t="str">
        <f t="shared" si="5"/>
        <v/>
      </c>
    </row>
    <row r="49" spans="2:12" x14ac:dyDescent="0.25">
      <c r="B49" s="143"/>
      <c r="C49" s="45">
        <v>1</v>
      </c>
      <c r="D49" s="16" t="s">
        <v>97</v>
      </c>
      <c r="E49" s="45">
        <v>1</v>
      </c>
      <c r="F49" s="112">
        <v>6.5</v>
      </c>
      <c r="H49" s="85"/>
      <c r="I49" s="86" t="str">
        <f t="shared" si="3"/>
        <v/>
      </c>
      <c r="J49" s="86"/>
      <c r="K49" s="45" t="str">
        <f t="shared" si="0"/>
        <v/>
      </c>
      <c r="L49" s="112" t="str">
        <f t="shared" si="5"/>
        <v/>
      </c>
    </row>
    <row r="50" spans="2:12" x14ac:dyDescent="0.25">
      <c r="B50" s="143"/>
      <c r="C50" s="45">
        <v>5</v>
      </c>
      <c r="D50" s="16" t="s">
        <v>94</v>
      </c>
      <c r="E50" s="45">
        <v>5</v>
      </c>
      <c r="F50" s="112">
        <v>6.5</v>
      </c>
      <c r="H50" s="85"/>
      <c r="I50" s="86" t="str">
        <f t="shared" si="3"/>
        <v/>
      </c>
      <c r="J50" s="86"/>
      <c r="K50" s="45" t="str">
        <f t="shared" si="0"/>
        <v/>
      </c>
      <c r="L50" s="112" t="str">
        <f t="shared" si="5"/>
        <v/>
      </c>
    </row>
    <row r="51" spans="2:12" x14ac:dyDescent="0.25">
      <c r="B51" s="143"/>
      <c r="C51" s="45">
        <v>5</v>
      </c>
      <c r="D51" s="16" t="s">
        <v>16</v>
      </c>
      <c r="E51" s="45">
        <v>5</v>
      </c>
      <c r="F51" s="112">
        <v>6.5</v>
      </c>
      <c r="H51" s="85"/>
      <c r="I51" s="86" t="str">
        <f t="shared" si="3"/>
        <v/>
      </c>
      <c r="J51" s="86"/>
      <c r="K51" s="45" t="str">
        <f t="shared" si="0"/>
        <v/>
      </c>
      <c r="L51" s="112" t="str">
        <f t="shared" si="5"/>
        <v/>
      </c>
    </row>
    <row r="52" spans="2:12" x14ac:dyDescent="0.25">
      <c r="B52" s="143"/>
      <c r="C52" s="45">
        <v>3</v>
      </c>
      <c r="D52" s="16" t="s">
        <v>98</v>
      </c>
      <c r="E52" s="45">
        <v>3</v>
      </c>
      <c r="F52" s="112">
        <v>6.5</v>
      </c>
      <c r="H52" s="85"/>
      <c r="I52" s="86" t="str">
        <f t="shared" si="3"/>
        <v/>
      </c>
      <c r="J52" s="86"/>
      <c r="K52" s="45" t="str">
        <f t="shared" si="0"/>
        <v/>
      </c>
      <c r="L52" s="112" t="str">
        <f t="shared" si="5"/>
        <v/>
      </c>
    </row>
    <row r="53" spans="2:12" x14ac:dyDescent="0.25">
      <c r="B53" s="143"/>
      <c r="C53" s="45">
        <v>1</v>
      </c>
      <c r="D53" s="16" t="s">
        <v>99</v>
      </c>
      <c r="E53" s="45">
        <v>2</v>
      </c>
      <c r="F53" s="112">
        <v>6.5</v>
      </c>
      <c r="H53" s="85"/>
      <c r="I53" s="86" t="str">
        <f t="shared" si="3"/>
        <v/>
      </c>
      <c r="J53" s="86"/>
      <c r="K53" s="45" t="str">
        <f t="shared" si="0"/>
        <v/>
      </c>
      <c r="L53" s="112" t="str">
        <f t="shared" si="5"/>
        <v/>
      </c>
    </row>
    <row r="54" spans="2:12" x14ac:dyDescent="0.25">
      <c r="B54" s="143"/>
      <c r="C54" s="92">
        <v>5</v>
      </c>
      <c r="D54" s="91" t="s">
        <v>47</v>
      </c>
      <c r="E54" s="92">
        <v>5</v>
      </c>
      <c r="F54" s="114">
        <v>6.5</v>
      </c>
      <c r="H54" s="85"/>
      <c r="I54" s="86" t="str">
        <f t="shared" si="3"/>
        <v/>
      </c>
      <c r="J54" s="86"/>
      <c r="K54" s="45" t="str">
        <f t="shared" si="0"/>
        <v/>
      </c>
      <c r="L54" s="114" t="str">
        <f t="shared" si="5"/>
        <v/>
      </c>
    </row>
    <row r="55" spans="2:12" x14ac:dyDescent="0.25">
      <c r="B55" s="144"/>
      <c r="C55" s="45">
        <v>5</v>
      </c>
      <c r="D55" s="16" t="s">
        <v>96</v>
      </c>
      <c r="E55" s="45">
        <v>5</v>
      </c>
      <c r="F55" s="112">
        <v>6.5</v>
      </c>
      <c r="H55" s="85"/>
      <c r="I55" s="86" t="str">
        <f t="shared" si="3"/>
        <v/>
      </c>
      <c r="J55" s="86"/>
      <c r="K55" s="45" t="str">
        <f t="shared" si="0"/>
        <v/>
      </c>
      <c r="L55" s="112" t="str">
        <f t="shared" si="5"/>
        <v/>
      </c>
    </row>
    <row r="56" spans="2:12" ht="15.75" thickBot="1" x14ac:dyDescent="0.3">
      <c r="B56" s="145"/>
      <c r="C56" s="94">
        <v>1</v>
      </c>
      <c r="D56" s="93" t="s">
        <v>100</v>
      </c>
      <c r="E56" s="94">
        <v>2</v>
      </c>
      <c r="F56" s="115">
        <v>6.5</v>
      </c>
      <c r="H56" s="87"/>
      <c r="I56" s="88" t="str">
        <f t="shared" si="3"/>
        <v/>
      </c>
      <c r="J56" s="88"/>
      <c r="K56" s="46" t="str">
        <f t="shared" si="0"/>
        <v/>
      </c>
      <c r="L56" s="115" t="str">
        <f t="shared" si="5"/>
        <v/>
      </c>
    </row>
    <row r="57" spans="2:12" x14ac:dyDescent="0.25">
      <c r="E57" s="1" t="s">
        <v>79</v>
      </c>
      <c r="F57" s="99"/>
      <c r="K57" s="1" t="str">
        <f t="shared" si="0"/>
        <v/>
      </c>
      <c r="L57" s="99"/>
    </row>
    <row r="58" spans="2:12" ht="19.5" thickBot="1" x14ac:dyDescent="0.35">
      <c r="B58" s="7" t="s">
        <v>52</v>
      </c>
      <c r="E58" s="1" t="s">
        <v>79</v>
      </c>
      <c r="F58" s="99"/>
      <c r="K58" s="1" t="str">
        <f t="shared" si="0"/>
        <v/>
      </c>
      <c r="L58" s="99"/>
    </row>
    <row r="59" spans="2:12" ht="15" customHeight="1" x14ac:dyDescent="0.25">
      <c r="B59" s="146" t="s">
        <v>53</v>
      </c>
      <c r="C59" s="47">
        <v>10</v>
      </c>
      <c r="D59" s="21" t="s">
        <v>4</v>
      </c>
      <c r="E59" s="47">
        <v>19</v>
      </c>
      <c r="F59" s="116">
        <v>5.5</v>
      </c>
      <c r="H59" s="89"/>
      <c r="I59" s="90" t="str">
        <f t="shared" ref="I59:I65" si="6">IF($R$3=1,MAX(0,C59-E59+H59),"")</f>
        <v/>
      </c>
      <c r="J59" s="90"/>
      <c r="K59" s="47" t="str">
        <f t="shared" si="0"/>
        <v/>
      </c>
      <c r="L59" s="116" t="str">
        <f t="shared" ref="L59:L65" si="7">IF(ISNUMBER(J59),J59*F59,IF(AND(ISNUMBER(I59),I59&gt;0),I59*F59,""))</f>
        <v/>
      </c>
    </row>
    <row r="60" spans="2:12" x14ac:dyDescent="0.25">
      <c r="B60" s="147"/>
      <c r="C60" s="29">
        <v>10</v>
      </c>
      <c r="D60" s="22" t="s">
        <v>5</v>
      </c>
      <c r="E60" s="29">
        <v>16</v>
      </c>
      <c r="F60" s="117">
        <v>5.5</v>
      </c>
      <c r="H60" s="52"/>
      <c r="I60" s="53" t="str">
        <f t="shared" si="6"/>
        <v/>
      </c>
      <c r="J60" s="53"/>
      <c r="K60" s="29" t="str">
        <f t="shared" si="0"/>
        <v/>
      </c>
      <c r="L60" s="117" t="str">
        <f t="shared" si="7"/>
        <v/>
      </c>
    </row>
    <row r="61" spans="2:12" x14ac:dyDescent="0.25">
      <c r="B61" s="147"/>
      <c r="C61" s="29">
        <v>10</v>
      </c>
      <c r="D61" s="22" t="s">
        <v>8</v>
      </c>
      <c r="E61" s="29">
        <v>18</v>
      </c>
      <c r="F61" s="117">
        <v>5.5</v>
      </c>
      <c r="H61" s="52"/>
      <c r="I61" s="53" t="str">
        <f t="shared" si="6"/>
        <v/>
      </c>
      <c r="J61" s="53"/>
      <c r="K61" s="29" t="str">
        <f t="shared" si="0"/>
        <v/>
      </c>
      <c r="L61" s="117" t="str">
        <f t="shared" si="7"/>
        <v/>
      </c>
    </row>
    <row r="62" spans="2:12" x14ac:dyDescent="0.25">
      <c r="B62" s="147"/>
      <c r="C62" s="29">
        <v>10</v>
      </c>
      <c r="D62" s="22" t="s">
        <v>9</v>
      </c>
      <c r="E62" s="29">
        <v>13</v>
      </c>
      <c r="F62" s="117">
        <v>5.5</v>
      </c>
      <c r="H62" s="52"/>
      <c r="I62" s="53" t="str">
        <f t="shared" si="6"/>
        <v/>
      </c>
      <c r="J62" s="53"/>
      <c r="K62" s="29" t="str">
        <f t="shared" si="0"/>
        <v/>
      </c>
      <c r="L62" s="117" t="str">
        <f t="shared" si="7"/>
        <v/>
      </c>
    </row>
    <row r="63" spans="2:12" x14ac:dyDescent="0.25">
      <c r="B63" s="147"/>
      <c r="C63" s="29">
        <v>10</v>
      </c>
      <c r="D63" s="22" t="s">
        <v>10</v>
      </c>
      <c r="E63" s="29">
        <v>14</v>
      </c>
      <c r="F63" s="117">
        <v>5.5</v>
      </c>
      <c r="H63" s="52"/>
      <c r="I63" s="53" t="str">
        <f t="shared" si="6"/>
        <v/>
      </c>
      <c r="J63" s="53"/>
      <c r="K63" s="29" t="str">
        <f t="shared" si="0"/>
        <v/>
      </c>
      <c r="L63" s="117" t="str">
        <f t="shared" si="7"/>
        <v/>
      </c>
    </row>
    <row r="64" spans="2:12" x14ac:dyDescent="0.25">
      <c r="B64" s="147"/>
      <c r="C64" s="29">
        <v>15</v>
      </c>
      <c r="D64" s="22" t="s">
        <v>11</v>
      </c>
      <c r="E64" s="29">
        <v>25</v>
      </c>
      <c r="F64" s="117">
        <v>5.5</v>
      </c>
      <c r="H64" s="52"/>
      <c r="I64" s="53" t="str">
        <f t="shared" si="6"/>
        <v/>
      </c>
      <c r="J64" s="53"/>
      <c r="K64" s="29" t="str">
        <f t="shared" si="0"/>
        <v/>
      </c>
      <c r="L64" s="117" t="str">
        <f t="shared" si="7"/>
        <v/>
      </c>
    </row>
    <row r="65" spans="2:12" ht="15.75" thickBot="1" x14ac:dyDescent="0.3">
      <c r="B65" s="148"/>
      <c r="C65" s="30">
        <v>10</v>
      </c>
      <c r="D65" s="23" t="s">
        <v>6</v>
      </c>
      <c r="E65" s="30">
        <v>19</v>
      </c>
      <c r="F65" s="120">
        <v>5.5</v>
      </c>
      <c r="H65" s="54"/>
      <c r="I65" s="55" t="str">
        <f t="shared" si="6"/>
        <v/>
      </c>
      <c r="J65" s="55"/>
      <c r="K65" s="30" t="str">
        <f t="shared" si="0"/>
        <v/>
      </c>
      <c r="L65" s="120" t="str">
        <f t="shared" si="7"/>
        <v/>
      </c>
    </row>
    <row r="66" spans="2:12" x14ac:dyDescent="0.25">
      <c r="E66" s="1" t="s">
        <v>79</v>
      </c>
      <c r="F66" s="99"/>
      <c r="K66" s="1" t="str">
        <f t="shared" si="0"/>
        <v/>
      </c>
      <c r="L66" s="99"/>
    </row>
    <row r="67" spans="2:12" ht="19.5" thickBot="1" x14ac:dyDescent="0.35">
      <c r="B67" s="7" t="s">
        <v>67</v>
      </c>
      <c r="E67" s="1" t="s">
        <v>79</v>
      </c>
      <c r="F67" s="99"/>
      <c r="K67" s="1" t="str">
        <f t="shared" si="0"/>
        <v/>
      </c>
      <c r="L67" s="99"/>
    </row>
    <row r="68" spans="2:12" ht="15" customHeight="1" x14ac:dyDescent="0.25">
      <c r="B68" s="136" t="s">
        <v>64</v>
      </c>
      <c r="C68" s="27">
        <v>15</v>
      </c>
      <c r="D68" s="5" t="s">
        <v>56</v>
      </c>
      <c r="E68" s="27">
        <v>0</v>
      </c>
      <c r="F68" s="95">
        <v>2.19</v>
      </c>
      <c r="H68" s="48"/>
      <c r="I68" s="49" t="str">
        <f t="shared" ref="I68:I83" si="8">IF($R$3=1,MAX(0,C68-E68+H68),"")</f>
        <v/>
      </c>
      <c r="J68" s="49"/>
      <c r="K68" s="27" t="str">
        <f t="shared" si="0"/>
        <v/>
      </c>
      <c r="L68" s="95" t="str">
        <f t="shared" ref="L68:L83" si="9">IF(ISNUMBER(J68),J68*F68,IF(AND(ISNUMBER(I68),I68&gt;0),I68*F68,""))</f>
        <v/>
      </c>
    </row>
    <row r="69" spans="2:12" x14ac:dyDescent="0.25">
      <c r="B69" s="137"/>
      <c r="C69" s="28">
        <v>10</v>
      </c>
      <c r="D69" s="4" t="s">
        <v>57</v>
      </c>
      <c r="E69" s="28">
        <v>12</v>
      </c>
      <c r="F69" s="96">
        <v>4.5</v>
      </c>
      <c r="H69" s="50"/>
      <c r="I69" s="51" t="str">
        <f t="shared" si="8"/>
        <v/>
      </c>
      <c r="J69" s="51"/>
      <c r="K69" s="28" t="str">
        <f t="shared" ref="K69:K83" si="10">IF(AND(ISNUMBER(E69),$R$2=1),E69-H69+J69,"")</f>
        <v/>
      </c>
      <c r="L69" s="96" t="str">
        <f t="shared" si="9"/>
        <v/>
      </c>
    </row>
    <row r="70" spans="2:12" x14ac:dyDescent="0.25">
      <c r="B70" s="137"/>
      <c r="C70" s="32">
        <v>10</v>
      </c>
      <c r="D70" s="12" t="s">
        <v>58</v>
      </c>
      <c r="E70" s="32">
        <v>20</v>
      </c>
      <c r="F70" s="101">
        <v>10</v>
      </c>
      <c r="H70" s="58"/>
      <c r="I70" s="59" t="str">
        <f t="shared" si="8"/>
        <v/>
      </c>
      <c r="J70" s="59"/>
      <c r="K70" s="32" t="str">
        <f t="shared" si="10"/>
        <v/>
      </c>
      <c r="L70" s="101" t="str">
        <f t="shared" si="9"/>
        <v/>
      </c>
    </row>
    <row r="71" spans="2:12" x14ac:dyDescent="0.25">
      <c r="B71" s="137"/>
      <c r="C71" s="35">
        <v>10</v>
      </c>
      <c r="D71" s="19" t="s">
        <v>59</v>
      </c>
      <c r="E71" s="35">
        <v>10</v>
      </c>
      <c r="F71" s="103">
        <v>10</v>
      </c>
      <c r="H71" s="66"/>
      <c r="I71" s="67" t="str">
        <f t="shared" si="8"/>
        <v/>
      </c>
      <c r="J71" s="67"/>
      <c r="K71" s="35" t="str">
        <f t="shared" si="10"/>
        <v/>
      </c>
      <c r="L71" s="103" t="str">
        <f t="shared" si="9"/>
        <v/>
      </c>
    </row>
    <row r="72" spans="2:12" x14ac:dyDescent="0.25">
      <c r="B72" s="137"/>
      <c r="C72" s="38">
        <v>10</v>
      </c>
      <c r="D72" s="2" t="s">
        <v>60</v>
      </c>
      <c r="E72" s="38">
        <v>10</v>
      </c>
      <c r="F72" s="105">
        <v>10</v>
      </c>
      <c r="H72" s="73"/>
      <c r="I72" s="74" t="str">
        <f t="shared" si="8"/>
        <v/>
      </c>
      <c r="J72" s="74"/>
      <c r="K72" s="38" t="str">
        <f t="shared" si="10"/>
        <v/>
      </c>
      <c r="L72" s="105" t="str">
        <f t="shared" si="9"/>
        <v/>
      </c>
    </row>
    <row r="73" spans="2:12" x14ac:dyDescent="0.25">
      <c r="B73" s="137"/>
      <c r="C73" s="42">
        <v>10</v>
      </c>
      <c r="D73" s="9" t="s">
        <v>61</v>
      </c>
      <c r="E73" s="42">
        <v>10</v>
      </c>
      <c r="F73" s="109">
        <v>10</v>
      </c>
      <c r="H73" s="79"/>
      <c r="I73" s="80" t="str">
        <f t="shared" si="8"/>
        <v/>
      </c>
      <c r="J73" s="80"/>
      <c r="K73" s="42" t="str">
        <f t="shared" si="10"/>
        <v/>
      </c>
      <c r="L73" s="109" t="str">
        <f t="shared" si="9"/>
        <v/>
      </c>
    </row>
    <row r="74" spans="2:12" x14ac:dyDescent="0.25">
      <c r="B74" s="137"/>
      <c r="C74" s="45">
        <v>10</v>
      </c>
      <c r="D74" s="16" t="s">
        <v>62</v>
      </c>
      <c r="E74" s="45">
        <v>10</v>
      </c>
      <c r="F74" s="112">
        <v>10</v>
      </c>
      <c r="H74" s="85"/>
      <c r="I74" s="86" t="str">
        <f t="shared" si="8"/>
        <v/>
      </c>
      <c r="J74" s="86"/>
      <c r="K74" s="45" t="str">
        <f t="shared" si="10"/>
        <v/>
      </c>
      <c r="L74" s="112" t="str">
        <f t="shared" si="9"/>
        <v/>
      </c>
    </row>
    <row r="75" spans="2:12" x14ac:dyDescent="0.25">
      <c r="B75" s="137"/>
      <c r="C75" s="28">
        <v>2</v>
      </c>
      <c r="D75" s="4" t="s">
        <v>63</v>
      </c>
      <c r="E75" s="28">
        <v>3</v>
      </c>
      <c r="F75" s="96">
        <v>10</v>
      </c>
      <c r="H75" s="50"/>
      <c r="I75" s="51" t="str">
        <f t="shared" si="8"/>
        <v/>
      </c>
      <c r="J75" s="51"/>
      <c r="K75" s="28" t="str">
        <f t="shared" si="10"/>
        <v/>
      </c>
      <c r="L75" s="96" t="str">
        <f t="shared" si="9"/>
        <v/>
      </c>
    </row>
    <row r="76" spans="2:12" x14ac:dyDescent="0.25">
      <c r="B76" s="137"/>
      <c r="C76" s="28">
        <v>2</v>
      </c>
      <c r="D76" s="4" t="s">
        <v>78</v>
      </c>
      <c r="E76" s="28">
        <v>4</v>
      </c>
      <c r="F76" s="96">
        <v>10</v>
      </c>
      <c r="H76" s="50"/>
      <c r="I76" s="51" t="str">
        <f t="shared" si="8"/>
        <v/>
      </c>
      <c r="J76" s="51"/>
      <c r="K76" s="28" t="str">
        <f t="shared" si="10"/>
        <v/>
      </c>
      <c r="L76" s="96" t="str">
        <f t="shared" si="9"/>
        <v/>
      </c>
    </row>
    <row r="77" spans="2:12" x14ac:dyDescent="0.25">
      <c r="B77" s="137"/>
      <c r="C77" s="28">
        <v>2</v>
      </c>
      <c r="D77" s="4" t="s">
        <v>83</v>
      </c>
      <c r="E77" s="28">
        <v>4</v>
      </c>
      <c r="F77" s="96">
        <v>10</v>
      </c>
      <c r="H77" s="50"/>
      <c r="I77" s="51" t="str">
        <f t="shared" si="8"/>
        <v/>
      </c>
      <c r="J77" s="51"/>
      <c r="K77" s="28" t="str">
        <f t="shared" ref="K77:K82" si="11">IF(AND(ISNUMBER(E77),$R$2=1),E77-H77+J77,"")</f>
        <v/>
      </c>
      <c r="L77" s="96" t="str">
        <f t="shared" si="9"/>
        <v/>
      </c>
    </row>
    <row r="78" spans="2:12" x14ac:dyDescent="0.25">
      <c r="B78" s="137"/>
      <c r="C78" s="28">
        <v>2</v>
      </c>
      <c r="D78" s="4" t="s">
        <v>84</v>
      </c>
      <c r="E78" s="28">
        <v>4</v>
      </c>
      <c r="F78" s="96">
        <v>10</v>
      </c>
      <c r="H78" s="50"/>
      <c r="I78" s="51" t="str">
        <f t="shared" si="8"/>
        <v/>
      </c>
      <c r="J78" s="51"/>
      <c r="K78" s="28" t="str">
        <f t="shared" si="11"/>
        <v/>
      </c>
      <c r="L78" s="96" t="str">
        <f t="shared" si="9"/>
        <v/>
      </c>
    </row>
    <row r="79" spans="2:12" x14ac:dyDescent="0.25">
      <c r="B79" s="137"/>
      <c r="C79" s="125"/>
      <c r="D79" s="126" t="s">
        <v>89</v>
      </c>
      <c r="E79" s="125">
        <v>0</v>
      </c>
      <c r="F79" s="127">
        <v>10</v>
      </c>
      <c r="H79" s="85"/>
      <c r="I79" s="86" t="str">
        <f t="shared" si="8"/>
        <v/>
      </c>
      <c r="J79" s="86"/>
      <c r="K79" s="45" t="str">
        <f t="shared" si="11"/>
        <v/>
      </c>
      <c r="L79" s="112" t="str">
        <f t="shared" si="9"/>
        <v/>
      </c>
    </row>
    <row r="80" spans="2:12" x14ac:dyDescent="0.25">
      <c r="B80" s="137"/>
      <c r="C80" s="125"/>
      <c r="D80" s="126" t="s">
        <v>90</v>
      </c>
      <c r="E80" s="125">
        <v>0</v>
      </c>
      <c r="F80" s="127">
        <v>10</v>
      </c>
      <c r="H80" s="85"/>
      <c r="I80" s="86" t="str">
        <f t="shared" si="8"/>
        <v/>
      </c>
      <c r="J80" s="86"/>
      <c r="K80" s="45" t="str">
        <f t="shared" si="11"/>
        <v/>
      </c>
      <c r="L80" s="112" t="str">
        <f t="shared" si="9"/>
        <v/>
      </c>
    </row>
    <row r="81" spans="2:14" x14ac:dyDescent="0.25">
      <c r="B81" s="137"/>
      <c r="C81" s="125"/>
      <c r="D81" s="126" t="s">
        <v>91</v>
      </c>
      <c r="E81" s="125">
        <v>0</v>
      </c>
      <c r="F81" s="127">
        <v>10</v>
      </c>
      <c r="H81" s="85"/>
      <c r="I81" s="86" t="str">
        <f t="shared" si="8"/>
        <v/>
      </c>
      <c r="J81" s="86"/>
      <c r="K81" s="45" t="str">
        <f t="shared" si="11"/>
        <v/>
      </c>
      <c r="L81" s="112" t="str">
        <f t="shared" si="9"/>
        <v/>
      </c>
    </row>
    <row r="82" spans="2:14" x14ac:dyDescent="0.25">
      <c r="B82" s="137"/>
      <c r="C82" s="125"/>
      <c r="D82" s="126" t="s">
        <v>92</v>
      </c>
      <c r="E82" s="125">
        <v>0</v>
      </c>
      <c r="F82" s="127">
        <v>10</v>
      </c>
      <c r="H82" s="85"/>
      <c r="I82" s="86" t="str">
        <f t="shared" si="8"/>
        <v/>
      </c>
      <c r="J82" s="86"/>
      <c r="K82" s="45" t="str">
        <f t="shared" si="11"/>
        <v/>
      </c>
      <c r="L82" s="112" t="str">
        <f t="shared" si="9"/>
        <v/>
      </c>
    </row>
    <row r="83" spans="2:14" ht="15.75" thickBot="1" x14ac:dyDescent="0.3">
      <c r="B83" s="138"/>
      <c r="C83" s="122"/>
      <c r="D83" s="123" t="s">
        <v>77</v>
      </c>
      <c r="E83" s="122">
        <v>0</v>
      </c>
      <c r="F83" s="124">
        <v>10</v>
      </c>
      <c r="H83" s="128"/>
      <c r="I83" s="129" t="str">
        <f t="shared" si="8"/>
        <v/>
      </c>
      <c r="J83" s="129"/>
      <c r="K83" s="130" t="str">
        <f t="shared" si="10"/>
        <v/>
      </c>
      <c r="L83" s="131" t="str">
        <f t="shared" si="9"/>
        <v/>
      </c>
    </row>
    <row r="85" spans="2:14" ht="19.5" thickBot="1" x14ac:dyDescent="0.35">
      <c r="B85" s="7" t="s">
        <v>85</v>
      </c>
      <c r="E85" s="1" t="s">
        <v>79</v>
      </c>
      <c r="F85" s="99"/>
      <c r="K85" s="1" t="str">
        <f t="shared" ref="K85:K90" si="12">IF(AND(ISNUMBER(E85),$R$2=1),E85-H85+J85,"")</f>
        <v/>
      </c>
      <c r="L85" s="99"/>
    </row>
    <row r="86" spans="2:14" ht="15" customHeight="1" x14ac:dyDescent="0.25">
      <c r="C86" s="27"/>
      <c r="D86" s="5" t="s">
        <v>103</v>
      </c>
      <c r="E86" s="27" t="s">
        <v>79</v>
      </c>
      <c r="F86" s="95">
        <v>115</v>
      </c>
      <c r="H86" s="48"/>
      <c r="I86" s="49"/>
      <c r="J86" s="49"/>
      <c r="K86" s="27" t="str">
        <f t="shared" si="12"/>
        <v/>
      </c>
      <c r="L86" s="95" t="str">
        <f>IF(ISNUMBER(J86),J86*F86,IF(AND(ISNUMBER(I86),I86&gt;0),I86*F86,""))</f>
        <v/>
      </c>
    </row>
    <row r="87" spans="2:14" x14ac:dyDescent="0.25">
      <c r="C87" s="28"/>
      <c r="D87" s="4" t="s">
        <v>104</v>
      </c>
      <c r="E87" s="28" t="s">
        <v>79</v>
      </c>
      <c r="F87" s="96">
        <v>44</v>
      </c>
      <c r="H87" s="50"/>
      <c r="I87" s="51"/>
      <c r="J87" s="51"/>
      <c r="K87" s="28" t="str">
        <f t="shared" si="12"/>
        <v/>
      </c>
      <c r="L87" s="96" t="str">
        <f>IF(ISNUMBER(J87),J87*F87,IF(AND(ISNUMBER(I87),I87&gt;0),I87*F87,""))</f>
        <v/>
      </c>
    </row>
    <row r="88" spans="2:14" x14ac:dyDescent="0.25">
      <c r="C88" s="28"/>
      <c r="D88" s="4" t="s">
        <v>93</v>
      </c>
      <c r="E88" s="28" t="s">
        <v>79</v>
      </c>
      <c r="F88" s="96">
        <v>17</v>
      </c>
      <c r="H88" s="50"/>
      <c r="I88" s="51"/>
      <c r="J88" s="51"/>
      <c r="K88" s="28" t="str">
        <f t="shared" si="12"/>
        <v/>
      </c>
      <c r="L88" s="96" t="str">
        <f>IF(ISNUMBER(J88),J88*F88,IF(AND(ISNUMBER(I88),I88&gt;0),I88*F88,""))</f>
        <v/>
      </c>
    </row>
    <row r="89" spans="2:14" x14ac:dyDescent="0.25">
      <c r="C89" s="28"/>
      <c r="D89" s="4" t="s">
        <v>87</v>
      </c>
      <c r="E89" s="28" t="s">
        <v>79</v>
      </c>
      <c r="F89" s="96">
        <v>5</v>
      </c>
      <c r="H89" s="50"/>
      <c r="I89" s="51"/>
      <c r="J89" s="51"/>
      <c r="K89" s="28" t="str">
        <f t="shared" si="12"/>
        <v/>
      </c>
      <c r="L89" s="96" t="str">
        <f>IF(ISNUMBER(J89),J89*F89,IF(AND(ISNUMBER(I89),I89&gt;0),I89*F89,""))</f>
        <v/>
      </c>
    </row>
    <row r="90" spans="2:14" x14ac:dyDescent="0.25">
      <c r="C90" s="28"/>
      <c r="D90" s="4" t="s">
        <v>86</v>
      </c>
      <c r="E90" s="28" t="s">
        <v>79</v>
      </c>
      <c r="F90" s="96">
        <v>9</v>
      </c>
      <c r="H90" s="50"/>
      <c r="I90" s="51"/>
      <c r="J90" s="51"/>
      <c r="K90" s="28" t="str">
        <f t="shared" si="12"/>
        <v/>
      </c>
      <c r="L90" s="96" t="str">
        <f>IF(ISNUMBER(J90),J90*F90,IF(AND(ISNUMBER(I90),I90&gt;0),I90*F90,""))</f>
        <v/>
      </c>
    </row>
    <row r="92" spans="2:14" ht="18.75" x14ac:dyDescent="0.3">
      <c r="B92" s="7" t="s">
        <v>75</v>
      </c>
      <c r="L92" s="118">
        <f>SUM(L3:L91)</f>
        <v>0</v>
      </c>
      <c r="N92" s="119"/>
    </row>
    <row r="93" spans="2:14" ht="18.75" x14ac:dyDescent="0.3">
      <c r="B93" s="7" t="s">
        <v>88</v>
      </c>
      <c r="F93" s="99"/>
      <c r="H93" s="99" t="str">
        <f>IF(SUM(H3:H65)&gt;0,SUMPRODUCT(H3:H83,F3:F83),"")</f>
        <v/>
      </c>
      <c r="L93" s="121">
        <f>SUMPRODUCT(E3:E83,F3:F83)</f>
        <v>5652.0555555555557</v>
      </c>
    </row>
  </sheetData>
  <mergeCells count="10">
    <mergeCell ref="B68:B83"/>
    <mergeCell ref="B3:B6"/>
    <mergeCell ref="B48:B56"/>
    <mergeCell ref="B59:B65"/>
    <mergeCell ref="B9:B12"/>
    <mergeCell ref="B13:B16"/>
    <mergeCell ref="B17:B23"/>
    <mergeCell ref="B26:B30"/>
    <mergeCell ref="B33:B36"/>
    <mergeCell ref="B39:B47"/>
  </mergeCells>
  <pageMargins left="0.7" right="0.7" top="0.75" bottom="0.75" header="0.3" footer="0.3"/>
  <pageSetup scale="5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</vt:lpstr>
      <vt:lpstr>Inventory!Print_Area</vt:lpstr>
    </vt:vector>
  </TitlesOfParts>
  <Company>ManTech Internation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pbdupre</dc:creator>
  <cp:lastModifiedBy>Jeremiah</cp:lastModifiedBy>
  <cp:lastPrinted>2023-12-04T06:47:22Z</cp:lastPrinted>
  <dcterms:created xsi:type="dcterms:W3CDTF">2017-04-26T17:26:11Z</dcterms:created>
  <dcterms:modified xsi:type="dcterms:W3CDTF">2026-04-26T22:51:55Z</dcterms:modified>
</cp:coreProperties>
</file>